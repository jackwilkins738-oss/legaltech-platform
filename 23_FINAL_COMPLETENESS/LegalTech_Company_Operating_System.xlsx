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15295f651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a95eb4781636475b"/>
    <x:sheet xmlns:r="http://schemas.openxmlformats.org/officeDocument/2006/relationships" name="Dashboard" sheetId="2" r:id="Rbf79999ca3744d69"/>
    <x:sheet xmlns:r="http://schemas.openxmlformats.org/officeDocument/2006/relationships" name="CRM" sheetId="3" r:id="Rf7dd20758e2c4a58"/>
    <x:sheet xmlns:r="http://schemas.openxmlformats.org/officeDocument/2006/relationships" name="Customer Health" sheetId="4" r:id="R92fd940064544ff9"/>
    <x:sheet xmlns:r="http://schemas.openxmlformats.org/officeDocument/2006/relationships" name="Vendors &amp; Subprocessors" sheetId="5" r:id="R2e39579826fc4b24"/>
    <x:sheet xmlns:r="http://schemas.openxmlformats.org/officeDocument/2006/relationships" name="ROPA" sheetId="6" r:id="R850c35d947244122"/>
    <x:sheet xmlns:r="http://schemas.openxmlformats.org/officeDocument/2006/relationships" name="Breach Log" sheetId="7" r:id="Rfcb94fb7fab447e9"/>
    <x:sheet xmlns:r="http://schemas.openxmlformats.org/officeDocument/2006/relationships" name="ISMS Evidence" sheetId="8" r:id="Rc61df507cedd4081"/>
    <x:sheet xmlns:r="http://schemas.openxmlformats.org/officeDocument/2006/relationships" name="Hiring" sheetId="9" r:id="R9fc1ad0d21674151"/>
    <x:sheet xmlns:r="http://schemas.openxmlformats.org/officeDocument/2006/relationships" name="Compliance Calendar" sheetId="10" r:id="R74712ec0c81e4154"/>
    <x:sheet xmlns:r="http://schemas.openxmlformats.org/officeDocument/2006/relationships" name="Board KPIs" sheetId="11" r:id="R20eaaae4a67b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£#,##0"/>
    <x:numFmt numFmtId="202" formatCode="yyyy-mm-dd hh:mm"/>
    <x:numFmt numFmtId="203" formatCode="yyyy-mm"/>
    <x:numFmt numFmtId="204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daa2388f74bb2" /><Relationship Type="http://schemas.openxmlformats.org/officeDocument/2006/relationships/theme" Target="/xl/theme/theme1.xml" Id="Rbcc2733c0f9f41b6" /><Relationship Type="http://schemas.openxmlformats.org/officeDocument/2006/relationships/sharedStrings" Target="/xl/sharedStrings.xml" Id="R55b5fcd2243543cd" /><Relationship Type="http://schemas.openxmlformats.org/officeDocument/2006/relationships/worksheet" Target="/xl/worksheets/sheet1.xml" Id="Ra95eb4781636475b" /><Relationship Type="http://schemas.openxmlformats.org/officeDocument/2006/relationships/worksheet" Target="/xl/worksheets/sheet2.xml" Id="Rbf79999ca3744d69" /><Relationship Type="http://schemas.openxmlformats.org/officeDocument/2006/relationships/worksheet" Target="/xl/worksheets/sheet3.xml" Id="Rf7dd20758e2c4a58" /><Relationship Type="http://schemas.openxmlformats.org/officeDocument/2006/relationships/worksheet" Target="/xl/worksheets/sheet4.xml" Id="R92fd940064544ff9" /><Relationship Type="http://schemas.openxmlformats.org/officeDocument/2006/relationships/worksheet" Target="/xl/worksheets/sheet5.xml" Id="R2e39579826fc4b24" /><Relationship Type="http://schemas.openxmlformats.org/officeDocument/2006/relationships/worksheet" Target="/xl/worksheets/sheet6.xml" Id="R850c35d947244122" /><Relationship Type="http://schemas.openxmlformats.org/officeDocument/2006/relationships/worksheet" Target="/xl/worksheets/sheet7.xml" Id="Rfcb94fb7fab447e9" /><Relationship Type="http://schemas.openxmlformats.org/officeDocument/2006/relationships/worksheet" Target="/xl/worksheets/sheet8.xml" Id="Rc61df507cedd4081" /><Relationship Type="http://schemas.openxmlformats.org/officeDocument/2006/relationships/worksheet" Target="/xl/worksheets/sheet9.xml" Id="R9fc1ad0d21674151" /><Relationship Type="http://schemas.openxmlformats.org/officeDocument/2006/relationships/worksheet" Target="/xl/worksheets/sheet10.xml" Id="R74712ec0c81e4154" /><Relationship Type="http://schemas.openxmlformats.org/officeDocument/2006/relationships/worksheet" Target="/xl/worksheets/sheet11.xml" Id="R20eaaae4a67b4b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6662e640dc44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cash trend</a:t>
            </a:r>
          </a:p>
        </c:rich>
      </c:tx>
    </c:title>
    <c:plotArea>
      <c:lineChart>
        <c:grouping val="standard"/>
        <c:ser>
          <c:idx val="0"/>
          <c:order val="0"/>
          <c:tx>
            <c:v>Cash £</c:v>
          </c:tx>
          <c:marker>
            <c:symbol val="none"/>
          </c:marker>
          <c:cat>
            <c:strRef>
              <c:f>'Board KPIs'!$A$2:$A$13</c:f>
              <c:strCache>
                <c:ptCount val="0"/>
              </c:strCache>
            </c:strRef>
          </c:cat>
          <c:val>
            <c:numRef>
              <c:f>'Board KPIs'!$B$2:$B$13</c:f>
              <c:numCache>
                <c:formatCode>£#,##0</c:formatCode>
                <c:ptCount val="0"/>
              </c:numCache>
            </c:numRef>
          </c:val>
        </c:ser>
        <c:ser>
          <c:idx val="1"/>
          <c:order val="1"/>
          <c:tx>
            <c:v>Burn £</c:v>
          </c:tx>
          <c:marker>
            <c:symbol val="none"/>
          </c:marker>
          <c:cat>
            <c:strRef>
              <c:f>'Board KPIs'!$A$2:$A$13</c:f>
              <c:strCache>
                <c:ptCount val="0"/>
              </c:strCache>
            </c:strRef>
          </c:cat>
          <c:val>
            <c:numRef>
              <c:f>'Board KPIs'!$C$2:$C$13</c:f>
              <c:numCache>
                <c:formatCode>£#,##0</c:formatCode>
                <c:ptCount val="0"/>
              </c:numCache>
            </c:numRef>
          </c:val>
        </c:ser>
        <c:ser>
          <c:idx val="2"/>
          <c:order val="2"/>
          <c:tx>
            <c:v>Runway Months</c:v>
          </c:tx>
          <c:marker>
            <c:symbol val="none"/>
          </c:marker>
          <c:cat>
            <c:strRef>
              <c:f>'Board KPIs'!$A$2:$A$13</c:f>
              <c:strCache>
                <c:ptCount val="0"/>
              </c:strCache>
            </c:strRef>
          </c:cat>
          <c:val>
            <c:numRef>
              <c:f>'Board KPIs'!$D$2:$D$13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Pilot Revenue £</c:v>
          </c:tx>
          <c:marker>
            <c:symbol val="none"/>
          </c:marker>
          <c:cat>
            <c:strRef>
              <c:f>'Board KPIs'!$A$2:$A$13</c:f>
              <c:strCache>
                <c:ptCount val="0"/>
              </c:strCache>
            </c:strRef>
          </c:cat>
          <c:val>
            <c:numRef>
              <c:f>'Board KPIs'!$E$2:$E$13</c:f>
              <c:numCache>
                <c:formatCode>£#,##0</c:formatCode>
                <c:ptCount val="0"/>
              </c:numCache>
            </c:numRef>
          </c:val>
        </c:ser>
        <c:ser>
          <c:idx val="4"/>
          <c:order val="4"/>
          <c:tx>
            <c:v>ARR £</c:v>
          </c:tx>
          <c:marker>
            <c:symbol val="none"/>
          </c:marker>
          <c:cat>
            <c:strRef>
              <c:f>'Board KPIs'!$A$2:$A$13</c:f>
              <c:strCache>
                <c:ptCount val="0"/>
              </c:strCache>
            </c:strRef>
          </c:cat>
          <c:val>
            <c:numRef>
              <c:f>'Board KPIs'!$F$2:$F$13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6662e640dc44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43e0ffdbd9440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6" t="str">
        <x:v>CRM Stage</x:v>
      </x:c>
      <x:c r="B1" s="6" t="str">
        <x:v>Risk</x:v>
      </x:c>
      <x:c r="C1" s="6" t="str">
        <x:v>Status</x:v>
      </x:c>
      <x:c r="D1" s="6" t="str">
        <x:v>Vendor Tier</x:v>
      </x:c>
      <x:c r="E1" s="6" t="str">
        <x:v>Decision</x:v>
      </x:c>
      <x:c r="F1" s="6" t="str">
        <x:v>Owner Role</x:v>
      </x:c>
    </x:row>
    <x:row r="2">
      <x:c r="A2" t="str">
        <x:v>RESEARCHED</x:v>
      </x:c>
      <x:c r="B2" t="str">
        <x:v>LOW</x:v>
      </x:c>
      <x:c r="C2" t="str">
        <x:v>NOT STARTED</x:v>
      </x:c>
      <x:c r="D2" t="str">
        <x:v>CRITICAL</x:v>
      </x:c>
      <x:c r="E2" t="str">
        <x:v>PASS</x:v>
      </x:c>
      <x:c r="F2" t="str">
        <x:v>Founder - Product/Commercial</x:v>
      </x:c>
    </x:row>
    <x:row r="3">
      <x:c r="A3" t="str">
        <x:v>CONTACTED</x:v>
      </x:c>
      <x:c r="B3" t="str">
        <x:v>MEDIUM</x:v>
      </x:c>
      <x:c r="C3" t="str">
        <x:v>IN PROGRESS</x:v>
      </x:c>
      <x:c r="D3" t="str">
        <x:v>HIGH</x:v>
      </x:c>
      <x:c r="E3" t="str">
        <x:v>ITERATE</x:v>
      </x:c>
      <x:c r="F3" t="str">
        <x:v>Founder - Technical</x:v>
      </x:c>
    </x:row>
    <x:row r="4">
      <x:c r="A4" t="str">
        <x:v>ENGAGED</x:v>
      </x:c>
      <x:c r="B4" t="str">
        <x:v>HIGH</x:v>
      </x:c>
      <x:c r="C4" t="str">
        <x:v>COMPLETE</x:v>
      </x:c>
      <x:c r="D4" t="str">
        <x:v>MEDIUM</x:v>
      </x:c>
      <x:c r="E4" t="str">
        <x:v>FAIL</x:v>
      </x:c>
      <x:c r="F4" t="str">
        <x:v>Security Owner</x:v>
      </x:c>
    </x:row>
    <x:row r="5">
      <x:c r="A5" t="str">
        <x:v>DISCOVERY</x:v>
      </x:c>
      <x:c r="B5" t="str">
        <x:v>CRITICAL</x:v>
      </x:c>
      <x:c r="C5" t="str">
        <x:v>BLOCKED</x:v>
      </x:c>
      <x:c r="D5" t="str">
        <x:v>LOW</x:v>
      </x:c>
      <x:c r="E5" t="str">
        <x:v>UNKNOWN</x:v>
      </x:c>
      <x:c r="F5" t="str">
        <x:v>Privacy Owner</x:v>
      </x:c>
    </x:row>
    <x:row r="6">
      <x:c r="A6" t="str">
        <x:v>QUALIFIED</x:v>
      </x:c>
      <x:c r="C6" t="str">
        <x:v>N/A</x:v>
      </x:c>
      <x:c r="F6" t="str">
        <x:v>Finance Owner</x:v>
      </x:c>
    </x:row>
    <x:row r="7">
      <x:c r="A7" t="str">
        <x:v>WORKFLOW ASSESSMENT</x:v>
      </x:c>
      <x:c r="F7" t="str">
        <x:v>Customer Success Owner</x:v>
      </x:c>
    </x:row>
    <x:row r="8">
      <x:c r="A8" t="str">
        <x:v>SECURITY/TECHNICAL</x:v>
      </x:c>
      <x:c r="F8" t="str">
        <x:v>Other</x:v>
      </x:c>
    </x:row>
    <x:row r="9">
      <x:c r="A9" t="str">
        <x:v>PILOT PROPOSAL</x:v>
      </x:c>
    </x:row>
    <x:row r="10">
      <x:c r="A10" t="str">
        <x:v>PILOT CONTRACTING</x:v>
      </x:c>
    </x:row>
    <x:row r="11">
      <x:c r="A11" t="str">
        <x:v>PILOT LIVE</x:v>
      </x:c>
    </x:row>
    <x:row r="12">
      <x:c r="A12" t="str">
        <x:v>ANNUAL NEGOTIATION</x:v>
      </x:c>
    </x:row>
    <x:row r="13">
      <x:c r="A13" t="str">
        <x:v>WON</x:v>
      </x:c>
    </x:row>
    <x:row r="14">
      <x:c r="A14" t="str">
        <x:v>LOST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14" t="str">
        <x:v>LegalTech Company Operating System</x:v>
      </x:c>
      <x:c r="B1" s="14"/>
      <x:c r="C1" s="14"/>
      <x:c r="D1" s="14"/>
      <x:c r="E1" s="14"/>
      <x:c r="F1" s="14"/>
      <x:c r="G1" s="14"/>
      <x:c r="H1" s="14"/>
    </x:row>
    <x:row r="3">
      <x:c r="A3" s="6" t="str">
        <x:v>KPI</x:v>
      </x:c>
      <x:c r="B3" s="6" t="str">
        <x:v>Value</x:v>
      </x:c>
    </x:row>
    <x:row r="4">
      <x:c r="A4" t="str">
        <x:v>Open pipeline accounts</x:v>
      </x:c>
      <x:c r="B4" t="n">
        <x:f>COUNTIF(CRM!A2:A201,"&lt;&gt;")-COUNTIF(CRM!B2:B201,"WON")-COUNTIF(CRM!B2:B201,"LOST")</x:f>
        <x:v>0</x:v>
      </x:c>
    </x:row>
    <x:row r="5">
      <x:c r="A5" t="str">
        <x:v>Qualified+ opportunities</x:v>
      </x:c>
      <x:c r="B5" t="n">
        <x:f>COUNTIF(CRM!B2:B201,"QUALIFIED")+COUNTIF(CRM!B2:B201,"WORKFLOW ASSESSMENT")+COUNTIF(CRM!B2:B201,"SECURITY/TECHNICAL")+COUNTIF(CRM!B2:B201,"PILOT PROPOSAL")+COUNTIF(CRM!B2:B201,"PILOT CONTRACTING")+COUNTIF(CRM!B2:B201,"PILOT LIVE")+COUNTIF(CRM!B2:B201,"ANNUAL NEGOTIATION")</x:f>
        <x:v>0</x:v>
      </x:c>
    </x:row>
    <x:row r="6">
      <x:c r="A6" t="str">
        <x:v>Live pilots</x:v>
      </x:c>
      <x:c r="B6" t="n">
        <x:f>COUNTIF(CRM!B2:B201,"PILOT LIVE")</x:f>
        <x:v>0</x:v>
      </x:c>
    </x:row>
    <x:row r="7">
      <x:c r="A7" t="str">
        <x:v>Customers at health risk</x:v>
      </x:c>
      <x:c r="B7" t="n">
        <x:f>COUNTIF('Customer Health'!K2:K101,"HIGH")</x:f>
        <x:v>0</x:v>
      </x:c>
    </x:row>
    <x:row r="8">
      <x:c r="A8" t="str">
        <x:v>Critical/high vendors</x:v>
      </x:c>
      <x:c r="B8" t="n">
        <x:f>COUNTIF('Vendors &amp; Subprocessors'!D2:D151,"CRITICAL")+COUNTIF('Vendors &amp; Subprocessors'!D2:D151,"HIGH")</x:f>
        <x:v>0</x:v>
      </x:c>
    </x:row>
    <x:row r="9">
      <x:c r="A9" t="str">
        <x:v>Open security/privacy incidents</x:v>
      </x:c>
      <x:c r="B9" t="n">
        <x:f>COUNTIF('Breach Log'!Q2:Q101,"OPEN")+COUNTIF('Breach Log'!Q2:Q101,"INVESTIGATING")</x:f>
        <x:v>0</x:v>
      </x:c>
    </x:row>
    <x:row r="10">
      <x:c r="A10" t="str">
        <x:v>Open ISMS control gaps</x:v>
      </x:c>
      <x:c r="B10" t="n">
        <x:f>COUNTIF('ISMS Evidence'!K2:K201,"BLOCKED")+COUNTIF('ISMS Evidence'!K2:K201,"NOT STARTED")</x:f>
        <x:v>0</x:v>
      </x:c>
    </x:row>
    <x:row r="11">
      <x:c r="A11" t="str">
        <x:v>Compliance items due &lt;=30d</x:v>
      </x:c>
      <x:c r="B11" t="n">
        <x:f>COUNTIFS('Compliance Calendar'!E2:E101,"&gt;="&amp;TODAY(),'Compliance Calendar'!E2:E101,"&lt;="&amp;TODAY()+30)</x:f>
        <x:v>0</x:v>
      </x:c>
    </x:row>
    <x:row r="12">
      <x:c r="A12" t="str">
        <x:v>Open hires</x:v>
      </x:c>
      <x:c r="B12" t="n">
        <x:f>COUNTIF(Hiring!D2:D101,"IN PROGRESS")+COUNTIF(Hiring!D2:D101,"NOT STARTED")</x:f>
        <x:v>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6" hidden="0" customWidth="1"/>
    <x:col min="4" max="4" width="20" hidden="0" customWidth="1"/>
    <x:col min="5" max="5" width="12" hidden="0" customWidth="1"/>
    <x:col min="6" max="6" width="2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5" hidden="0" customWidth="1"/>
    <x:col min="12" max="12" width="30" hidden="0" customWidth="1"/>
    <x:col min="13" max="13" width="14" hidden="0" customWidth="1"/>
    <x:col min="14" max="14" width="28" hidden="0" customWidth="1"/>
    <x:col min="15" max="15" width="24" hidden="0" customWidth="1"/>
    <x:col min="16" max="16" width="14" hidden="0" customWidth="1"/>
  </x:cols>
  <x:sheetData>
    <x:row r="1">
      <x:c r="A1" s="6" t="str">
        <x:v>Account</x:v>
      </x:c>
      <x:c r="B1" s="6" t="str">
        <x:v>Stage</x:v>
      </x:c>
      <x:c r="C1" s="6" t="str">
        <x:v>Proclaim Evidence</x:v>
      </x:c>
      <x:c r="D1" s="6" t="str">
        <x:v>Practice Area</x:v>
      </x:c>
      <x:c r="E1" s="6" t="str">
        <x:v>Users Est.</x:v>
      </x:c>
      <x:c r="F1" s="6" t="str">
        <x:v>Workflow</x:v>
      </x:c>
      <x:c r="G1" s="6" t="str">
        <x:v>Champion</x:v>
      </x:c>
      <x:c r="H1" s="6" t="str">
        <x:v>Economic Buyer</x:v>
      </x:c>
      <x:c r="I1" s="6" t="str">
        <x:v>IT Owner</x:v>
      </x:c>
      <x:c r="J1" s="6" t="str">
        <x:v>Security Owner</x:v>
      </x:c>
      <x:c r="K1" s="6" t="str">
        <x:v>Annual Value £</x:v>
      </x:c>
      <x:c r="L1" s="6" t="str">
        <x:v>Next Step</x:v>
      </x:c>
      <x:c r="M1" s="6" t="str">
        <x:v>Next Step Date</x:v>
      </x:c>
      <x:c r="N1" s="6" t="str">
        <x:v>Blocker</x:v>
      </x:c>
      <x:c r="O1" s="6" t="str">
        <x:v>Loss Reason</x:v>
      </x:c>
      <x:c r="P1" s="6" t="str">
        <x:v>Last Updated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3"/>
      <x:c r="L2" s="22"/>
      <x:c r="M2" s="24"/>
      <x:c r="N2" s="22"/>
      <x:c r="O2" s="22"/>
      <x:c r="P2" s="24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3"/>
      <x:c r="L3" s="22"/>
      <x:c r="M3" s="24"/>
      <x:c r="N3" s="22"/>
      <x:c r="O3" s="22"/>
      <x:c r="P3" s="24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3"/>
      <x:c r="L4" s="22"/>
      <x:c r="M4" s="24"/>
      <x:c r="N4" s="22"/>
      <x:c r="O4" s="22"/>
      <x:c r="P4" s="24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3"/>
      <x:c r="L5" s="22"/>
      <x:c r="M5" s="24"/>
      <x:c r="N5" s="22"/>
      <x:c r="O5" s="22"/>
      <x:c r="P5" s="24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3"/>
      <x:c r="L6" s="22"/>
      <x:c r="M6" s="24"/>
      <x:c r="N6" s="22"/>
      <x:c r="O6" s="22"/>
      <x:c r="P6" s="24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3"/>
      <x:c r="L7" s="22"/>
      <x:c r="M7" s="24"/>
      <x:c r="N7" s="22"/>
      <x:c r="O7" s="22"/>
      <x:c r="P7" s="24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3"/>
      <x:c r="L8" s="22"/>
      <x:c r="M8" s="24"/>
      <x:c r="N8" s="22"/>
      <x:c r="O8" s="22"/>
      <x:c r="P8" s="24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3"/>
      <x:c r="L9" s="22"/>
      <x:c r="M9" s="24"/>
      <x:c r="N9" s="22"/>
      <x:c r="O9" s="22"/>
      <x:c r="P9" s="24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3"/>
      <x:c r="L10" s="22"/>
      <x:c r="M10" s="24"/>
      <x:c r="N10" s="22"/>
      <x:c r="O10" s="22"/>
      <x:c r="P10" s="24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3"/>
      <x:c r="L11" s="22"/>
      <x:c r="M11" s="24"/>
      <x:c r="N11" s="22"/>
      <x:c r="O11" s="22"/>
      <x:c r="P11" s="24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3"/>
      <x:c r="L12" s="22"/>
      <x:c r="M12" s="24"/>
      <x:c r="N12" s="22"/>
      <x:c r="O12" s="22"/>
      <x:c r="P12" s="24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3"/>
      <x:c r="L13" s="22"/>
      <x:c r="M13" s="24"/>
      <x:c r="N13" s="22"/>
      <x:c r="O13" s="22"/>
      <x:c r="P13" s="24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3"/>
      <x:c r="L14" s="22"/>
      <x:c r="M14" s="24"/>
      <x:c r="N14" s="22"/>
      <x:c r="O14" s="22"/>
      <x:c r="P14" s="24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3"/>
      <x:c r="L15" s="22"/>
      <x:c r="M15" s="24"/>
      <x:c r="N15" s="22"/>
      <x:c r="O15" s="22"/>
      <x:c r="P15" s="24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3"/>
      <x:c r="L16" s="22"/>
      <x:c r="M16" s="24"/>
      <x:c r="N16" s="22"/>
      <x:c r="O16" s="22"/>
      <x:c r="P16" s="24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3"/>
      <x:c r="L17" s="22"/>
      <x:c r="M17" s="24"/>
      <x:c r="N17" s="22"/>
      <x:c r="O17" s="22"/>
      <x:c r="P17" s="24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3"/>
      <x:c r="L18" s="22"/>
      <x:c r="M18" s="24"/>
      <x:c r="N18" s="22"/>
      <x:c r="O18" s="22"/>
      <x:c r="P18" s="24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3"/>
      <x:c r="L19" s="22"/>
      <x:c r="M19" s="24"/>
      <x:c r="N19" s="22"/>
      <x:c r="O19" s="22"/>
      <x:c r="P19" s="24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3"/>
      <x:c r="L20" s="22"/>
      <x:c r="M20" s="24"/>
      <x:c r="N20" s="22"/>
      <x:c r="O20" s="22"/>
      <x:c r="P20" s="24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3"/>
      <x:c r="L21" s="22"/>
      <x:c r="M21" s="24"/>
      <x:c r="N21" s="22"/>
      <x:c r="O21" s="22"/>
      <x:c r="P21" s="24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3"/>
      <x:c r="L22" s="22"/>
      <x:c r="M22" s="24"/>
      <x:c r="N22" s="22"/>
      <x:c r="O22" s="22"/>
      <x:c r="P22" s="24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3"/>
      <x:c r="L23" s="22"/>
      <x:c r="M23" s="24"/>
      <x:c r="N23" s="22"/>
      <x:c r="O23" s="22"/>
      <x:c r="P23" s="24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3"/>
      <x:c r="L24" s="22"/>
      <x:c r="M24" s="24"/>
      <x:c r="N24" s="22"/>
      <x:c r="O24" s="22"/>
      <x:c r="P24" s="24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3"/>
      <x:c r="L25" s="22"/>
      <x:c r="M25" s="24"/>
      <x:c r="N25" s="22"/>
      <x:c r="O25" s="22"/>
      <x:c r="P25" s="24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3"/>
      <x:c r="L26" s="22"/>
      <x:c r="M26" s="24"/>
      <x:c r="N26" s="22"/>
      <x:c r="O26" s="22"/>
      <x:c r="P26" s="24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3"/>
      <x:c r="L27" s="22"/>
      <x:c r="M27" s="24"/>
      <x:c r="N27" s="22"/>
      <x:c r="O27" s="22"/>
      <x:c r="P27" s="24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3"/>
      <x:c r="L28" s="22"/>
      <x:c r="M28" s="24"/>
      <x:c r="N28" s="22"/>
      <x:c r="O28" s="22"/>
      <x:c r="P28" s="24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3"/>
      <x:c r="L29" s="22"/>
      <x:c r="M29" s="24"/>
      <x:c r="N29" s="22"/>
      <x:c r="O29" s="22"/>
      <x:c r="P29" s="24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3"/>
      <x:c r="L30" s="22"/>
      <x:c r="M30" s="24"/>
      <x:c r="N30" s="22"/>
      <x:c r="O30" s="22"/>
      <x:c r="P30" s="24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3"/>
      <x:c r="L31" s="22"/>
      <x:c r="M31" s="24"/>
      <x:c r="N31" s="22"/>
      <x:c r="O31" s="22"/>
      <x:c r="P31" s="24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3"/>
      <x:c r="L32" s="22"/>
      <x:c r="M32" s="24"/>
      <x:c r="N32" s="22"/>
      <x:c r="O32" s="22"/>
      <x:c r="P32" s="24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3"/>
      <x:c r="L33" s="22"/>
      <x:c r="M33" s="24"/>
      <x:c r="N33" s="22"/>
      <x:c r="O33" s="22"/>
      <x:c r="P33" s="24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3"/>
      <x:c r="L34" s="22"/>
      <x:c r="M34" s="24"/>
      <x:c r="N34" s="22"/>
      <x:c r="O34" s="22"/>
      <x:c r="P34" s="24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3"/>
      <x:c r="L35" s="22"/>
      <x:c r="M35" s="24"/>
      <x:c r="N35" s="22"/>
      <x:c r="O35" s="22"/>
      <x:c r="P35" s="24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3"/>
      <x:c r="L36" s="22"/>
      <x:c r="M36" s="24"/>
      <x:c r="N36" s="22"/>
      <x:c r="O36" s="22"/>
      <x:c r="P36" s="24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3"/>
      <x:c r="L37" s="22"/>
      <x:c r="M37" s="24"/>
      <x:c r="N37" s="22"/>
      <x:c r="O37" s="22"/>
      <x:c r="P37" s="24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3"/>
      <x:c r="L38" s="22"/>
      <x:c r="M38" s="24"/>
      <x:c r="N38" s="22"/>
      <x:c r="O38" s="22"/>
      <x:c r="P38" s="24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3"/>
      <x:c r="L39" s="22"/>
      <x:c r="M39" s="24"/>
      <x:c r="N39" s="22"/>
      <x:c r="O39" s="22"/>
      <x:c r="P39" s="24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3"/>
      <x:c r="L40" s="22"/>
      <x:c r="M40" s="24"/>
      <x:c r="N40" s="22"/>
      <x:c r="O40" s="22"/>
      <x:c r="P40" s="24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3"/>
      <x:c r="L41" s="22"/>
      <x:c r="M41" s="24"/>
      <x:c r="N41" s="22"/>
      <x:c r="O41" s="22"/>
      <x:c r="P41" s="24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3"/>
      <x:c r="L42" s="22"/>
      <x:c r="M42" s="24"/>
      <x:c r="N42" s="22"/>
      <x:c r="O42" s="22"/>
      <x:c r="P42" s="24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3"/>
      <x:c r="L43" s="22"/>
      <x:c r="M43" s="24"/>
      <x:c r="N43" s="22"/>
      <x:c r="O43" s="22"/>
      <x:c r="P43" s="24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3"/>
      <x:c r="L44" s="22"/>
      <x:c r="M44" s="24"/>
      <x:c r="N44" s="22"/>
      <x:c r="O44" s="22"/>
      <x:c r="P44" s="24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3"/>
      <x:c r="L45" s="22"/>
      <x:c r="M45" s="24"/>
      <x:c r="N45" s="22"/>
      <x:c r="O45" s="22"/>
      <x:c r="P45" s="24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3"/>
      <x:c r="L46" s="22"/>
      <x:c r="M46" s="24"/>
      <x:c r="N46" s="22"/>
      <x:c r="O46" s="22"/>
      <x:c r="P46" s="24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3"/>
      <x:c r="L47" s="22"/>
      <x:c r="M47" s="24"/>
      <x:c r="N47" s="22"/>
      <x:c r="O47" s="22"/>
      <x:c r="P47" s="24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3"/>
      <x:c r="L48" s="22"/>
      <x:c r="M48" s="24"/>
      <x:c r="N48" s="22"/>
      <x:c r="O48" s="22"/>
      <x:c r="P48" s="24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3"/>
      <x:c r="L49" s="22"/>
      <x:c r="M49" s="24"/>
      <x:c r="N49" s="22"/>
      <x:c r="O49" s="22"/>
      <x:c r="P49" s="24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3"/>
      <x:c r="L50" s="22"/>
      <x:c r="M50" s="24"/>
      <x:c r="N50" s="22"/>
      <x:c r="O50" s="22"/>
      <x:c r="P50" s="24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3"/>
      <x:c r="L51" s="22"/>
      <x:c r="M51" s="24"/>
      <x:c r="N51" s="22"/>
      <x:c r="O51" s="22"/>
      <x:c r="P51" s="24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3"/>
      <x:c r="L52" s="22"/>
      <x:c r="M52" s="24"/>
      <x:c r="N52" s="22"/>
      <x:c r="O52" s="22"/>
      <x:c r="P52" s="24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3"/>
      <x:c r="L53" s="22"/>
      <x:c r="M53" s="24"/>
      <x:c r="N53" s="22"/>
      <x:c r="O53" s="22"/>
      <x:c r="P53" s="24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3"/>
      <x:c r="L54" s="22"/>
      <x:c r="M54" s="24"/>
      <x:c r="N54" s="22"/>
      <x:c r="O54" s="22"/>
      <x:c r="P54" s="24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3"/>
      <x:c r="L55" s="22"/>
      <x:c r="M55" s="24"/>
      <x:c r="N55" s="22"/>
      <x:c r="O55" s="22"/>
      <x:c r="P55" s="24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3"/>
      <x:c r="L56" s="22"/>
      <x:c r="M56" s="24"/>
      <x:c r="N56" s="22"/>
      <x:c r="O56" s="22"/>
      <x:c r="P56" s="24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3"/>
      <x:c r="L57" s="22"/>
      <x:c r="M57" s="24"/>
      <x:c r="N57" s="22"/>
      <x:c r="O57" s="22"/>
      <x:c r="P57" s="24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3"/>
      <x:c r="L58" s="22"/>
      <x:c r="M58" s="24"/>
      <x:c r="N58" s="22"/>
      <x:c r="O58" s="22"/>
      <x:c r="P58" s="24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3"/>
      <x:c r="L59" s="22"/>
      <x:c r="M59" s="24"/>
      <x:c r="N59" s="22"/>
      <x:c r="O59" s="22"/>
      <x:c r="P59" s="24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3"/>
      <x:c r="L60" s="22"/>
      <x:c r="M60" s="24"/>
      <x:c r="N60" s="22"/>
      <x:c r="O60" s="22"/>
      <x:c r="P60" s="24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3"/>
      <x:c r="L61" s="22"/>
      <x:c r="M61" s="24"/>
      <x:c r="N61" s="22"/>
      <x:c r="O61" s="22"/>
      <x:c r="P61" s="24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3"/>
      <x:c r="L62" s="22"/>
      <x:c r="M62" s="24"/>
      <x:c r="N62" s="22"/>
      <x:c r="O62" s="22"/>
      <x:c r="P62" s="24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3"/>
      <x:c r="L63" s="22"/>
      <x:c r="M63" s="24"/>
      <x:c r="N63" s="22"/>
      <x:c r="O63" s="22"/>
      <x:c r="P63" s="24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3"/>
      <x:c r="L64" s="22"/>
      <x:c r="M64" s="24"/>
      <x:c r="N64" s="22"/>
      <x:c r="O64" s="22"/>
      <x:c r="P64" s="24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3"/>
      <x:c r="L65" s="22"/>
      <x:c r="M65" s="24"/>
      <x:c r="N65" s="22"/>
      <x:c r="O65" s="22"/>
      <x:c r="P65" s="24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3"/>
      <x:c r="L66" s="22"/>
      <x:c r="M66" s="24"/>
      <x:c r="N66" s="22"/>
      <x:c r="O66" s="22"/>
      <x:c r="P66" s="24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3"/>
      <x:c r="L67" s="22"/>
      <x:c r="M67" s="24"/>
      <x:c r="N67" s="22"/>
      <x:c r="O67" s="22"/>
      <x:c r="P67" s="24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3"/>
      <x:c r="L68" s="22"/>
      <x:c r="M68" s="24"/>
      <x:c r="N68" s="22"/>
      <x:c r="O68" s="22"/>
      <x:c r="P68" s="24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3"/>
      <x:c r="L69" s="22"/>
      <x:c r="M69" s="24"/>
      <x:c r="N69" s="22"/>
      <x:c r="O69" s="22"/>
      <x:c r="P69" s="24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3"/>
      <x:c r="L70" s="22"/>
      <x:c r="M70" s="24"/>
      <x:c r="N70" s="22"/>
      <x:c r="O70" s="22"/>
      <x:c r="P70" s="24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3"/>
      <x:c r="L71" s="22"/>
      <x:c r="M71" s="24"/>
      <x:c r="N71" s="22"/>
      <x:c r="O71" s="22"/>
      <x:c r="P71" s="24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3"/>
      <x:c r="L72" s="22"/>
      <x:c r="M72" s="24"/>
      <x:c r="N72" s="22"/>
      <x:c r="O72" s="22"/>
      <x:c r="P72" s="24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3"/>
      <x:c r="L73" s="22"/>
      <x:c r="M73" s="24"/>
      <x:c r="N73" s="22"/>
      <x:c r="O73" s="22"/>
      <x:c r="P73" s="24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3"/>
      <x:c r="L74" s="22"/>
      <x:c r="M74" s="24"/>
      <x:c r="N74" s="22"/>
      <x:c r="O74" s="22"/>
      <x:c r="P74" s="24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3"/>
      <x:c r="L75" s="22"/>
      <x:c r="M75" s="24"/>
      <x:c r="N75" s="22"/>
      <x:c r="O75" s="22"/>
      <x:c r="P75" s="24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3"/>
      <x:c r="L76" s="22"/>
      <x:c r="M76" s="24"/>
      <x:c r="N76" s="22"/>
      <x:c r="O76" s="22"/>
      <x:c r="P76" s="24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3"/>
      <x:c r="L77" s="22"/>
      <x:c r="M77" s="24"/>
      <x:c r="N77" s="22"/>
      <x:c r="O77" s="22"/>
      <x:c r="P77" s="24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3"/>
      <x:c r="L78" s="22"/>
      <x:c r="M78" s="24"/>
      <x:c r="N78" s="22"/>
      <x:c r="O78" s="22"/>
      <x:c r="P78" s="24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3"/>
      <x:c r="L79" s="22"/>
      <x:c r="M79" s="24"/>
      <x:c r="N79" s="22"/>
      <x:c r="O79" s="22"/>
      <x:c r="P79" s="24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3"/>
      <x:c r="L80" s="22"/>
      <x:c r="M80" s="24"/>
      <x:c r="N80" s="22"/>
      <x:c r="O80" s="22"/>
      <x:c r="P80" s="24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3"/>
      <x:c r="L81" s="22"/>
      <x:c r="M81" s="24"/>
      <x:c r="N81" s="22"/>
      <x:c r="O81" s="22"/>
      <x:c r="P81" s="24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3"/>
      <x:c r="L82" s="22"/>
      <x:c r="M82" s="24"/>
      <x:c r="N82" s="22"/>
      <x:c r="O82" s="22"/>
      <x:c r="P82" s="24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3"/>
      <x:c r="L83" s="22"/>
      <x:c r="M83" s="24"/>
      <x:c r="N83" s="22"/>
      <x:c r="O83" s="22"/>
      <x:c r="P83" s="24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3"/>
      <x:c r="L84" s="22"/>
      <x:c r="M84" s="24"/>
      <x:c r="N84" s="22"/>
      <x:c r="O84" s="22"/>
      <x:c r="P84" s="24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3"/>
      <x:c r="L85" s="22"/>
      <x:c r="M85" s="24"/>
      <x:c r="N85" s="22"/>
      <x:c r="O85" s="22"/>
      <x:c r="P85" s="24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3"/>
      <x:c r="L86" s="22"/>
      <x:c r="M86" s="24"/>
      <x:c r="N86" s="22"/>
      <x:c r="O86" s="22"/>
      <x:c r="P86" s="24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3"/>
      <x:c r="L87" s="22"/>
      <x:c r="M87" s="24"/>
      <x:c r="N87" s="22"/>
      <x:c r="O87" s="22"/>
      <x:c r="P87" s="24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3"/>
      <x:c r="L88" s="22"/>
      <x:c r="M88" s="24"/>
      <x:c r="N88" s="22"/>
      <x:c r="O88" s="22"/>
      <x:c r="P88" s="24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3"/>
      <x:c r="L89" s="22"/>
      <x:c r="M89" s="24"/>
      <x:c r="N89" s="22"/>
      <x:c r="O89" s="22"/>
      <x:c r="P89" s="24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3"/>
      <x:c r="L90" s="22"/>
      <x:c r="M90" s="24"/>
      <x:c r="N90" s="22"/>
      <x:c r="O90" s="22"/>
      <x:c r="P90" s="24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3"/>
      <x:c r="L91" s="22"/>
      <x:c r="M91" s="24"/>
      <x:c r="N91" s="22"/>
      <x:c r="O91" s="22"/>
      <x:c r="P91" s="24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3"/>
      <x:c r="L92" s="22"/>
      <x:c r="M92" s="24"/>
      <x:c r="N92" s="22"/>
      <x:c r="O92" s="22"/>
      <x:c r="P92" s="24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3"/>
      <x:c r="L93" s="22"/>
      <x:c r="M93" s="24"/>
      <x:c r="N93" s="22"/>
      <x:c r="O93" s="22"/>
      <x:c r="P93" s="24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3"/>
      <x:c r="L94" s="22"/>
      <x:c r="M94" s="24"/>
      <x:c r="N94" s="22"/>
      <x:c r="O94" s="22"/>
      <x:c r="P94" s="24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3"/>
      <x:c r="L95" s="22"/>
      <x:c r="M95" s="24"/>
      <x:c r="N95" s="22"/>
      <x:c r="O95" s="22"/>
      <x:c r="P95" s="24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3"/>
      <x:c r="L96" s="22"/>
      <x:c r="M96" s="24"/>
      <x:c r="N96" s="22"/>
      <x:c r="O96" s="22"/>
      <x:c r="P96" s="24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3"/>
      <x:c r="L97" s="22"/>
      <x:c r="M97" s="24"/>
      <x:c r="N97" s="22"/>
      <x:c r="O97" s="22"/>
      <x:c r="P97" s="24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3"/>
      <x:c r="L98" s="22"/>
      <x:c r="M98" s="24"/>
      <x:c r="N98" s="22"/>
      <x:c r="O98" s="22"/>
      <x:c r="P98" s="24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3"/>
      <x:c r="L99" s="22"/>
      <x:c r="M99" s="24"/>
      <x:c r="N99" s="22"/>
      <x:c r="O99" s="22"/>
      <x:c r="P99" s="24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3"/>
      <x:c r="L100" s="22"/>
      <x:c r="M100" s="24"/>
      <x:c r="N100" s="22"/>
      <x:c r="O100" s="22"/>
      <x:c r="P100" s="24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3"/>
      <x:c r="L101" s="22"/>
      <x:c r="M101" s="24"/>
      <x:c r="N101" s="22"/>
      <x:c r="O101" s="22"/>
      <x:c r="P101" s="24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3"/>
      <x:c r="L102" s="22"/>
      <x:c r="M102" s="24"/>
      <x:c r="N102" s="22"/>
      <x:c r="O102" s="22"/>
      <x:c r="P102" s="24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3"/>
      <x:c r="L103" s="22"/>
      <x:c r="M103" s="24"/>
      <x:c r="N103" s="22"/>
      <x:c r="O103" s="22"/>
      <x:c r="P103" s="24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3"/>
      <x:c r="L104" s="22"/>
      <x:c r="M104" s="24"/>
      <x:c r="N104" s="22"/>
      <x:c r="O104" s="22"/>
      <x:c r="P104" s="24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3"/>
      <x:c r="L105" s="22"/>
      <x:c r="M105" s="24"/>
      <x:c r="N105" s="22"/>
      <x:c r="O105" s="22"/>
      <x:c r="P105" s="24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3"/>
      <x:c r="L106" s="22"/>
      <x:c r="M106" s="24"/>
      <x:c r="N106" s="22"/>
      <x:c r="O106" s="22"/>
      <x:c r="P106" s="24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3"/>
      <x:c r="L107" s="22"/>
      <x:c r="M107" s="24"/>
      <x:c r="N107" s="22"/>
      <x:c r="O107" s="22"/>
      <x:c r="P107" s="24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3"/>
      <x:c r="L108" s="22"/>
      <x:c r="M108" s="24"/>
      <x:c r="N108" s="22"/>
      <x:c r="O108" s="22"/>
      <x:c r="P108" s="24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3"/>
      <x:c r="L109" s="22"/>
      <x:c r="M109" s="24"/>
      <x:c r="N109" s="22"/>
      <x:c r="O109" s="22"/>
      <x:c r="P109" s="24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3"/>
      <x:c r="L110" s="22"/>
      <x:c r="M110" s="24"/>
      <x:c r="N110" s="22"/>
      <x:c r="O110" s="22"/>
      <x:c r="P110" s="24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3"/>
      <x:c r="L111" s="22"/>
      <x:c r="M111" s="24"/>
      <x:c r="N111" s="22"/>
      <x:c r="O111" s="22"/>
      <x:c r="P111" s="24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3"/>
      <x:c r="L112" s="22"/>
      <x:c r="M112" s="24"/>
      <x:c r="N112" s="22"/>
      <x:c r="O112" s="22"/>
      <x:c r="P112" s="24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3"/>
      <x:c r="L113" s="22"/>
      <x:c r="M113" s="24"/>
      <x:c r="N113" s="22"/>
      <x:c r="O113" s="22"/>
      <x:c r="P113" s="24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3"/>
      <x:c r="L114" s="22"/>
      <x:c r="M114" s="24"/>
      <x:c r="N114" s="22"/>
      <x:c r="O114" s="22"/>
      <x:c r="P114" s="24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3"/>
      <x:c r="L115" s="22"/>
      <x:c r="M115" s="24"/>
      <x:c r="N115" s="22"/>
      <x:c r="O115" s="22"/>
      <x:c r="P115" s="24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3"/>
      <x:c r="L116" s="22"/>
      <x:c r="M116" s="24"/>
      <x:c r="N116" s="22"/>
      <x:c r="O116" s="22"/>
      <x:c r="P116" s="24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3"/>
      <x:c r="L117" s="22"/>
      <x:c r="M117" s="24"/>
      <x:c r="N117" s="22"/>
      <x:c r="O117" s="22"/>
      <x:c r="P117" s="24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3"/>
      <x:c r="L118" s="22"/>
      <x:c r="M118" s="24"/>
      <x:c r="N118" s="22"/>
      <x:c r="O118" s="22"/>
      <x:c r="P118" s="24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3"/>
      <x:c r="L119" s="22"/>
      <x:c r="M119" s="24"/>
      <x:c r="N119" s="22"/>
      <x:c r="O119" s="22"/>
      <x:c r="P119" s="24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3"/>
      <x:c r="L120" s="22"/>
      <x:c r="M120" s="24"/>
      <x:c r="N120" s="22"/>
      <x:c r="O120" s="22"/>
      <x:c r="P120" s="24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3"/>
      <x:c r="L121" s="22"/>
      <x:c r="M121" s="24"/>
      <x:c r="N121" s="22"/>
      <x:c r="O121" s="22"/>
      <x:c r="P121" s="24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3"/>
      <x:c r="L122" s="22"/>
      <x:c r="M122" s="24"/>
      <x:c r="N122" s="22"/>
      <x:c r="O122" s="22"/>
      <x:c r="P122" s="24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3"/>
      <x:c r="L123" s="22"/>
      <x:c r="M123" s="24"/>
      <x:c r="N123" s="22"/>
      <x:c r="O123" s="22"/>
      <x:c r="P123" s="24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3"/>
      <x:c r="L124" s="22"/>
      <x:c r="M124" s="24"/>
      <x:c r="N124" s="22"/>
      <x:c r="O124" s="22"/>
      <x:c r="P124" s="24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3"/>
      <x:c r="L125" s="22"/>
      <x:c r="M125" s="24"/>
      <x:c r="N125" s="22"/>
      <x:c r="O125" s="22"/>
      <x:c r="P125" s="24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3"/>
      <x:c r="L126" s="22"/>
      <x:c r="M126" s="24"/>
      <x:c r="N126" s="22"/>
      <x:c r="O126" s="22"/>
      <x:c r="P126" s="24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3"/>
      <x:c r="L127" s="22"/>
      <x:c r="M127" s="24"/>
      <x:c r="N127" s="22"/>
      <x:c r="O127" s="22"/>
      <x:c r="P127" s="24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3"/>
      <x:c r="L128" s="22"/>
      <x:c r="M128" s="24"/>
      <x:c r="N128" s="22"/>
      <x:c r="O128" s="22"/>
      <x:c r="P128" s="24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3"/>
      <x:c r="L129" s="22"/>
      <x:c r="M129" s="24"/>
      <x:c r="N129" s="22"/>
      <x:c r="O129" s="22"/>
      <x:c r="P129" s="24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3"/>
      <x:c r="L130" s="22"/>
      <x:c r="M130" s="24"/>
      <x:c r="N130" s="22"/>
      <x:c r="O130" s="22"/>
      <x:c r="P130" s="24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3"/>
      <x:c r="L131" s="22"/>
      <x:c r="M131" s="24"/>
      <x:c r="N131" s="22"/>
      <x:c r="O131" s="22"/>
      <x:c r="P131" s="24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3"/>
      <x:c r="L132" s="22"/>
      <x:c r="M132" s="24"/>
      <x:c r="N132" s="22"/>
      <x:c r="O132" s="22"/>
      <x:c r="P132" s="24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3"/>
      <x:c r="L133" s="22"/>
      <x:c r="M133" s="24"/>
      <x:c r="N133" s="22"/>
      <x:c r="O133" s="22"/>
      <x:c r="P133" s="24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3"/>
      <x:c r="L134" s="22"/>
      <x:c r="M134" s="24"/>
      <x:c r="N134" s="22"/>
      <x:c r="O134" s="22"/>
      <x:c r="P134" s="24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3"/>
      <x:c r="L135" s="22"/>
      <x:c r="M135" s="24"/>
      <x:c r="N135" s="22"/>
      <x:c r="O135" s="22"/>
      <x:c r="P135" s="24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3"/>
      <x:c r="L136" s="22"/>
      <x:c r="M136" s="24"/>
      <x:c r="N136" s="22"/>
      <x:c r="O136" s="22"/>
      <x:c r="P136" s="24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3"/>
      <x:c r="L137" s="22"/>
      <x:c r="M137" s="24"/>
      <x:c r="N137" s="22"/>
      <x:c r="O137" s="22"/>
      <x:c r="P137" s="24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3"/>
      <x:c r="L138" s="22"/>
      <x:c r="M138" s="24"/>
      <x:c r="N138" s="22"/>
      <x:c r="O138" s="22"/>
      <x:c r="P138" s="24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3"/>
      <x:c r="L139" s="22"/>
      <x:c r="M139" s="24"/>
      <x:c r="N139" s="22"/>
      <x:c r="O139" s="22"/>
      <x:c r="P139" s="24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3"/>
      <x:c r="L140" s="22"/>
      <x:c r="M140" s="24"/>
      <x:c r="N140" s="22"/>
      <x:c r="O140" s="22"/>
      <x:c r="P140" s="24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3"/>
      <x:c r="L141" s="22"/>
      <x:c r="M141" s="24"/>
      <x:c r="N141" s="22"/>
      <x:c r="O141" s="22"/>
      <x:c r="P141" s="24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3"/>
      <x:c r="L142" s="22"/>
      <x:c r="M142" s="24"/>
      <x:c r="N142" s="22"/>
      <x:c r="O142" s="22"/>
      <x:c r="P142" s="24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3"/>
      <x:c r="L143" s="22"/>
      <x:c r="M143" s="24"/>
      <x:c r="N143" s="22"/>
      <x:c r="O143" s="22"/>
      <x:c r="P143" s="24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3"/>
      <x:c r="L144" s="22"/>
      <x:c r="M144" s="24"/>
      <x:c r="N144" s="22"/>
      <x:c r="O144" s="22"/>
      <x:c r="P144" s="24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3"/>
      <x:c r="L145" s="22"/>
      <x:c r="M145" s="24"/>
      <x:c r="N145" s="22"/>
      <x:c r="O145" s="22"/>
      <x:c r="P145" s="24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3"/>
      <x:c r="L146" s="22"/>
      <x:c r="M146" s="24"/>
      <x:c r="N146" s="22"/>
      <x:c r="O146" s="22"/>
      <x:c r="P146" s="24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3"/>
      <x:c r="L147" s="22"/>
      <x:c r="M147" s="24"/>
      <x:c r="N147" s="22"/>
      <x:c r="O147" s="22"/>
      <x:c r="P147" s="24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3"/>
      <x:c r="L148" s="22"/>
      <x:c r="M148" s="24"/>
      <x:c r="N148" s="22"/>
      <x:c r="O148" s="22"/>
      <x:c r="P148" s="24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3"/>
      <x:c r="L149" s="22"/>
      <x:c r="M149" s="24"/>
      <x:c r="N149" s="22"/>
      <x:c r="O149" s="22"/>
      <x:c r="P149" s="24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3"/>
      <x:c r="L150" s="22"/>
      <x:c r="M150" s="24"/>
      <x:c r="N150" s="22"/>
      <x:c r="O150" s="22"/>
      <x:c r="P150" s="24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3"/>
      <x:c r="L151" s="22"/>
      <x:c r="M151" s="24"/>
      <x:c r="N151" s="22"/>
      <x:c r="O151" s="22"/>
      <x:c r="P151" s="24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3"/>
      <x:c r="L152" s="22"/>
      <x:c r="M152" s="24"/>
      <x:c r="N152" s="22"/>
      <x:c r="O152" s="22"/>
      <x:c r="P152" s="24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3"/>
      <x:c r="L153" s="22"/>
      <x:c r="M153" s="24"/>
      <x:c r="N153" s="22"/>
      <x:c r="O153" s="22"/>
      <x:c r="P153" s="24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3"/>
      <x:c r="L154" s="22"/>
      <x:c r="M154" s="24"/>
      <x:c r="N154" s="22"/>
      <x:c r="O154" s="22"/>
      <x:c r="P154" s="24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3"/>
      <x:c r="L155" s="22"/>
      <x:c r="M155" s="24"/>
      <x:c r="N155" s="22"/>
      <x:c r="O155" s="22"/>
      <x:c r="P155" s="24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3"/>
      <x:c r="L156" s="22"/>
      <x:c r="M156" s="24"/>
      <x:c r="N156" s="22"/>
      <x:c r="O156" s="22"/>
      <x:c r="P156" s="24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3"/>
      <x:c r="L157" s="22"/>
      <x:c r="M157" s="24"/>
      <x:c r="N157" s="22"/>
      <x:c r="O157" s="22"/>
      <x:c r="P157" s="24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3"/>
      <x:c r="L158" s="22"/>
      <x:c r="M158" s="24"/>
      <x:c r="N158" s="22"/>
      <x:c r="O158" s="22"/>
      <x:c r="P158" s="24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3"/>
      <x:c r="L159" s="22"/>
      <x:c r="M159" s="24"/>
      <x:c r="N159" s="22"/>
      <x:c r="O159" s="22"/>
      <x:c r="P159" s="24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3"/>
      <x:c r="L160" s="22"/>
      <x:c r="M160" s="24"/>
      <x:c r="N160" s="22"/>
      <x:c r="O160" s="22"/>
      <x:c r="P160" s="24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3"/>
      <x:c r="L161" s="22"/>
      <x:c r="M161" s="24"/>
      <x:c r="N161" s="22"/>
      <x:c r="O161" s="22"/>
      <x:c r="P161" s="24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3"/>
      <x:c r="L162" s="22"/>
      <x:c r="M162" s="24"/>
      <x:c r="N162" s="22"/>
      <x:c r="O162" s="22"/>
      <x:c r="P162" s="24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3"/>
      <x:c r="L163" s="22"/>
      <x:c r="M163" s="24"/>
      <x:c r="N163" s="22"/>
      <x:c r="O163" s="22"/>
      <x:c r="P163" s="24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3"/>
      <x:c r="L164" s="22"/>
      <x:c r="M164" s="24"/>
      <x:c r="N164" s="22"/>
      <x:c r="O164" s="22"/>
      <x:c r="P164" s="24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3"/>
      <x:c r="L165" s="22"/>
      <x:c r="M165" s="24"/>
      <x:c r="N165" s="22"/>
      <x:c r="O165" s="22"/>
      <x:c r="P165" s="24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3"/>
      <x:c r="L166" s="22"/>
      <x:c r="M166" s="24"/>
      <x:c r="N166" s="22"/>
      <x:c r="O166" s="22"/>
      <x:c r="P166" s="24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3"/>
      <x:c r="L167" s="22"/>
      <x:c r="M167" s="24"/>
      <x:c r="N167" s="22"/>
      <x:c r="O167" s="22"/>
      <x:c r="P167" s="24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3"/>
      <x:c r="L168" s="22"/>
      <x:c r="M168" s="24"/>
      <x:c r="N168" s="22"/>
      <x:c r="O168" s="22"/>
      <x:c r="P168" s="24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3"/>
      <x:c r="L169" s="22"/>
      <x:c r="M169" s="24"/>
      <x:c r="N169" s="22"/>
      <x:c r="O169" s="22"/>
      <x:c r="P169" s="24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3"/>
      <x:c r="L170" s="22"/>
      <x:c r="M170" s="24"/>
      <x:c r="N170" s="22"/>
      <x:c r="O170" s="22"/>
      <x:c r="P170" s="24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3"/>
      <x:c r="L171" s="22"/>
      <x:c r="M171" s="24"/>
      <x:c r="N171" s="22"/>
      <x:c r="O171" s="22"/>
      <x:c r="P171" s="24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3"/>
      <x:c r="L172" s="22"/>
      <x:c r="M172" s="24"/>
      <x:c r="N172" s="22"/>
      <x:c r="O172" s="22"/>
      <x:c r="P172" s="24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3"/>
      <x:c r="L173" s="22"/>
      <x:c r="M173" s="24"/>
      <x:c r="N173" s="22"/>
      <x:c r="O173" s="22"/>
      <x:c r="P173" s="24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3"/>
      <x:c r="L174" s="22"/>
      <x:c r="M174" s="24"/>
      <x:c r="N174" s="22"/>
      <x:c r="O174" s="22"/>
      <x:c r="P174" s="24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3"/>
      <x:c r="L175" s="22"/>
      <x:c r="M175" s="24"/>
      <x:c r="N175" s="22"/>
      <x:c r="O175" s="22"/>
      <x:c r="P175" s="24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3"/>
      <x:c r="L176" s="22"/>
      <x:c r="M176" s="24"/>
      <x:c r="N176" s="22"/>
      <x:c r="O176" s="22"/>
      <x:c r="P176" s="24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3"/>
      <x:c r="L177" s="22"/>
      <x:c r="M177" s="24"/>
      <x:c r="N177" s="22"/>
      <x:c r="O177" s="22"/>
      <x:c r="P177" s="24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3"/>
      <x:c r="L178" s="22"/>
      <x:c r="M178" s="24"/>
      <x:c r="N178" s="22"/>
      <x:c r="O178" s="22"/>
      <x:c r="P178" s="24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3"/>
      <x:c r="L179" s="22"/>
      <x:c r="M179" s="24"/>
      <x:c r="N179" s="22"/>
      <x:c r="O179" s="22"/>
      <x:c r="P179" s="24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3"/>
      <x:c r="L180" s="22"/>
      <x:c r="M180" s="24"/>
      <x:c r="N180" s="22"/>
      <x:c r="O180" s="22"/>
      <x:c r="P180" s="24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3"/>
      <x:c r="L181" s="22"/>
      <x:c r="M181" s="24"/>
      <x:c r="N181" s="22"/>
      <x:c r="O181" s="22"/>
      <x:c r="P181" s="24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3"/>
      <x:c r="L182" s="22"/>
      <x:c r="M182" s="24"/>
      <x:c r="N182" s="22"/>
      <x:c r="O182" s="22"/>
      <x:c r="P182" s="24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3"/>
      <x:c r="L183" s="22"/>
      <x:c r="M183" s="24"/>
      <x:c r="N183" s="22"/>
      <x:c r="O183" s="22"/>
      <x:c r="P183" s="24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3"/>
      <x:c r="L184" s="22"/>
      <x:c r="M184" s="24"/>
      <x:c r="N184" s="22"/>
      <x:c r="O184" s="22"/>
      <x:c r="P184" s="24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3"/>
      <x:c r="L185" s="22"/>
      <x:c r="M185" s="24"/>
      <x:c r="N185" s="22"/>
      <x:c r="O185" s="22"/>
      <x:c r="P185" s="24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3"/>
      <x:c r="L186" s="22"/>
      <x:c r="M186" s="24"/>
      <x:c r="N186" s="22"/>
      <x:c r="O186" s="22"/>
      <x:c r="P186" s="24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3"/>
      <x:c r="L187" s="22"/>
      <x:c r="M187" s="24"/>
      <x:c r="N187" s="22"/>
      <x:c r="O187" s="22"/>
      <x:c r="P187" s="24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3"/>
      <x:c r="L188" s="22"/>
      <x:c r="M188" s="24"/>
      <x:c r="N188" s="22"/>
      <x:c r="O188" s="22"/>
      <x:c r="P188" s="24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3"/>
      <x:c r="L189" s="22"/>
      <x:c r="M189" s="24"/>
      <x:c r="N189" s="22"/>
      <x:c r="O189" s="22"/>
      <x:c r="P189" s="24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3"/>
      <x:c r="L190" s="22"/>
      <x:c r="M190" s="24"/>
      <x:c r="N190" s="22"/>
      <x:c r="O190" s="22"/>
      <x:c r="P190" s="24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3"/>
      <x:c r="L191" s="22"/>
      <x:c r="M191" s="24"/>
      <x:c r="N191" s="22"/>
      <x:c r="O191" s="22"/>
      <x:c r="P191" s="24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3"/>
      <x:c r="L192" s="22"/>
      <x:c r="M192" s="24"/>
      <x:c r="N192" s="22"/>
      <x:c r="O192" s="22"/>
      <x:c r="P192" s="24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3"/>
      <x:c r="L193" s="22"/>
      <x:c r="M193" s="24"/>
      <x:c r="N193" s="22"/>
      <x:c r="O193" s="22"/>
      <x:c r="P193" s="24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3"/>
      <x:c r="L194" s="22"/>
      <x:c r="M194" s="24"/>
      <x:c r="N194" s="22"/>
      <x:c r="O194" s="22"/>
      <x:c r="P194" s="24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3"/>
      <x:c r="L195" s="22"/>
      <x:c r="M195" s="24"/>
      <x:c r="N195" s="22"/>
      <x:c r="O195" s="22"/>
      <x:c r="P195" s="24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3"/>
      <x:c r="L196" s="22"/>
      <x:c r="M196" s="24"/>
      <x:c r="N196" s="22"/>
      <x:c r="O196" s="22"/>
      <x:c r="P196" s="24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3"/>
      <x:c r="L197" s="22"/>
      <x:c r="M197" s="24"/>
      <x:c r="N197" s="22"/>
      <x:c r="O197" s="22"/>
      <x:c r="P197" s="24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3"/>
      <x:c r="L198" s="22"/>
      <x:c r="M198" s="24"/>
      <x:c r="N198" s="22"/>
      <x:c r="O198" s="22"/>
      <x:c r="P198" s="24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3"/>
      <x:c r="L199" s="22"/>
      <x:c r="M199" s="24"/>
      <x:c r="N199" s="22"/>
      <x:c r="O199" s="22"/>
      <x:c r="P199" s="24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3"/>
      <x:c r="L200" s="22"/>
      <x:c r="M200" s="24"/>
      <x:c r="N200" s="22"/>
      <x:c r="O200" s="22"/>
      <x:c r="P200" s="24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3"/>
      <x:c r="L201" s="22"/>
      <x:c r="M201" s="24"/>
      <x:c r="N201" s="22"/>
      <x:c r="O201" s="22"/>
      <x:c r="P201" s="24"/>
    </x:row>
  </x:sheetData>
  <x:dataValidations count="1">
    <x:dataValidation type="list" sqref="B2:B201">
      <x:formula1>Lists!$A$2:$A$14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18" hidden="0" customWidth="1"/>
  </x:cols>
  <x:sheetData>
    <x:row r="1">
      <x:c r="A1" s="6" t="str">
        <x:v>Customer</x:v>
      </x:c>
      <x:c r="B1" s="6" t="str">
        <x:v>Adoption 0-5</x:v>
      </x:c>
      <x:c r="C1" s="6" t="str">
        <x:v>Value 0-5</x:v>
      </x:c>
      <x:c r="D1" s="6" t="str">
        <x:v>Accuracy 0-5</x:v>
      </x:c>
      <x:c r="E1" s="6" t="str">
        <x:v>Connector 0-5</x:v>
      </x:c>
      <x:c r="F1" s="6" t="str">
        <x:v>Support 0-5</x:v>
      </x:c>
      <x:c r="G1" s="6" t="str">
        <x:v>Champion 0-5</x:v>
      </x:c>
      <x:c r="H1" s="6" t="str">
        <x:v>Exec Sponsor 0-5</x:v>
      </x:c>
      <x:c r="I1" s="6" t="str">
        <x:v>Roadmap Fit 0-5</x:v>
      </x:c>
      <x:c r="J1" s="6" t="str">
        <x:v>Total /40</x:v>
      </x:c>
      <x:c r="K1" s="6" t="str">
        <x:v>Risk</x:v>
      </x:c>
      <x:c r="L1" s="6" t="str">
        <x:v>Action</x:v>
      </x:c>
      <x:c r="M1" s="6" t="str">
        <x:v>Owner</x:v>
      </x:c>
      <x:c r="N1" s="6" t="str">
        <x:v>Renewal Date</x:v>
      </x:c>
    </x:row>
    <x:row r="2">
      <x:c r="J2" t="n">
        <x:f>SUM(B2:I2)</x:f>
        <x:v>0</x:v>
      </x:c>
      <x:c r="K2" t="str">
        <x:f>IF(COUNTA(B2:I2)=0,"",IF(J2&lt;16,"HIGH",IF(J2&lt;26,"MEDIUM","LOW")))</x:f>
      </x:c>
      <x:c r="N2" s="18"/>
    </x:row>
    <x:row r="3">
      <x:c r="J3" t="n">
        <x:f>SUM(B3:I3)</x:f>
        <x:v>0</x:v>
      </x:c>
      <x:c r="K3" t="str">
        <x:f>IF(COUNTA(B3:I3)=0,"",IF(J3&lt;16,"HIGH",IF(J3&lt;26,"MEDIUM","LOW")))</x:f>
      </x:c>
      <x:c r="N3" s="18"/>
    </x:row>
    <x:row r="4">
      <x:c r="J4" t="n">
        <x:f>SUM(B4:I4)</x:f>
        <x:v>0</x:v>
      </x:c>
      <x:c r="K4" t="str">
        <x:f>IF(COUNTA(B4:I4)=0,"",IF(J4&lt;16,"HIGH",IF(J4&lt;26,"MEDIUM","LOW")))</x:f>
      </x:c>
      <x:c r="N4" s="18"/>
    </x:row>
    <x:row r="5">
      <x:c r="J5" t="n">
        <x:f>SUM(B5:I5)</x:f>
        <x:v>0</x:v>
      </x:c>
      <x:c r="K5" t="str">
        <x:f>IF(COUNTA(B5:I5)=0,"",IF(J5&lt;16,"HIGH",IF(J5&lt;26,"MEDIUM","LOW")))</x:f>
      </x:c>
      <x:c r="N5" s="18"/>
    </x:row>
    <x:row r="6">
      <x:c r="J6" t="n">
        <x:f>SUM(B6:I6)</x:f>
        <x:v>0</x:v>
      </x:c>
      <x:c r="K6" t="str">
        <x:f>IF(COUNTA(B6:I6)=0,"",IF(J6&lt;16,"HIGH",IF(J6&lt;26,"MEDIUM","LOW")))</x:f>
      </x:c>
      <x:c r="N6" s="18"/>
    </x:row>
    <x:row r="7">
      <x:c r="J7" t="n">
        <x:f>SUM(B7:I7)</x:f>
        <x:v>0</x:v>
      </x:c>
      <x:c r="K7" t="str">
        <x:f>IF(COUNTA(B7:I7)=0,"",IF(J7&lt;16,"HIGH",IF(J7&lt;26,"MEDIUM","LOW")))</x:f>
      </x:c>
      <x:c r="N7" s="18"/>
    </x:row>
    <x:row r="8">
      <x:c r="J8" t="n">
        <x:f>SUM(B8:I8)</x:f>
        <x:v>0</x:v>
      </x:c>
      <x:c r="K8" t="str">
        <x:f>IF(COUNTA(B8:I8)=0,"",IF(J8&lt;16,"HIGH",IF(J8&lt;26,"MEDIUM","LOW")))</x:f>
      </x:c>
      <x:c r="N8" s="18"/>
    </x:row>
    <x:row r="9">
      <x:c r="J9" t="n">
        <x:f>SUM(B9:I9)</x:f>
        <x:v>0</x:v>
      </x:c>
      <x:c r="K9" t="str">
        <x:f>IF(COUNTA(B9:I9)=0,"",IF(J9&lt;16,"HIGH",IF(J9&lt;26,"MEDIUM","LOW")))</x:f>
      </x:c>
      <x:c r="N9" s="18"/>
    </x:row>
    <x:row r="10">
      <x:c r="J10" t="n">
        <x:f>SUM(B10:I10)</x:f>
        <x:v>0</x:v>
      </x:c>
      <x:c r="K10" t="str">
        <x:f>IF(COUNTA(B10:I10)=0,"",IF(J10&lt;16,"HIGH",IF(J10&lt;26,"MEDIUM","LOW")))</x:f>
      </x:c>
      <x:c r="N10" s="18"/>
    </x:row>
    <x:row r="11">
      <x:c r="J11" t="n">
        <x:f>SUM(B11:I11)</x:f>
        <x:v>0</x:v>
      </x:c>
      <x:c r="K11" t="str">
        <x:f>IF(COUNTA(B11:I11)=0,"",IF(J11&lt;16,"HIGH",IF(J11&lt;26,"MEDIUM","LOW")))</x:f>
      </x:c>
      <x:c r="N11" s="18"/>
    </x:row>
    <x:row r="12">
      <x:c r="J12" t="n">
        <x:f>SUM(B12:I12)</x:f>
        <x:v>0</x:v>
      </x:c>
      <x:c r="K12" t="str">
        <x:f>IF(COUNTA(B12:I12)=0,"",IF(J12&lt;16,"HIGH",IF(J12&lt;26,"MEDIUM","LOW")))</x:f>
      </x:c>
      <x:c r="N12" s="18"/>
    </x:row>
    <x:row r="13">
      <x:c r="J13" t="n">
        <x:f>SUM(B13:I13)</x:f>
        <x:v>0</x:v>
      </x:c>
      <x:c r="K13" t="str">
        <x:f>IF(COUNTA(B13:I13)=0,"",IF(J13&lt;16,"HIGH",IF(J13&lt;26,"MEDIUM","LOW")))</x:f>
      </x:c>
      <x:c r="N13" s="18"/>
    </x:row>
    <x:row r="14">
      <x:c r="J14" t="n">
        <x:f>SUM(B14:I14)</x:f>
        <x:v>0</x:v>
      </x:c>
      <x:c r="K14" t="str">
        <x:f>IF(COUNTA(B14:I14)=0,"",IF(J14&lt;16,"HIGH",IF(J14&lt;26,"MEDIUM","LOW")))</x:f>
      </x:c>
      <x:c r="N14" s="18"/>
    </x:row>
    <x:row r="15">
      <x:c r="J15" t="n">
        <x:f>SUM(B15:I15)</x:f>
        <x:v>0</x:v>
      </x:c>
      <x:c r="K15" t="str">
        <x:f>IF(COUNTA(B15:I15)=0,"",IF(J15&lt;16,"HIGH",IF(J15&lt;26,"MEDIUM","LOW")))</x:f>
      </x:c>
      <x:c r="N15" s="18"/>
    </x:row>
    <x:row r="16">
      <x:c r="J16" t="n">
        <x:f>SUM(B16:I16)</x:f>
        <x:v>0</x:v>
      </x:c>
      <x:c r="K16" t="str">
        <x:f>IF(COUNTA(B16:I16)=0,"",IF(J16&lt;16,"HIGH",IF(J16&lt;26,"MEDIUM","LOW")))</x:f>
      </x:c>
      <x:c r="N16" s="18"/>
    </x:row>
    <x:row r="17">
      <x:c r="J17" t="n">
        <x:f>SUM(B17:I17)</x:f>
        <x:v>0</x:v>
      </x:c>
      <x:c r="K17" t="str">
        <x:f>IF(COUNTA(B17:I17)=0,"",IF(J17&lt;16,"HIGH",IF(J17&lt;26,"MEDIUM","LOW")))</x:f>
      </x:c>
      <x:c r="N17" s="18"/>
    </x:row>
    <x:row r="18">
      <x:c r="J18" t="n">
        <x:f>SUM(B18:I18)</x:f>
        <x:v>0</x:v>
      </x:c>
      <x:c r="K18" t="str">
        <x:f>IF(COUNTA(B18:I18)=0,"",IF(J18&lt;16,"HIGH",IF(J18&lt;26,"MEDIUM","LOW")))</x:f>
      </x:c>
      <x:c r="N18" s="18"/>
    </x:row>
    <x:row r="19">
      <x:c r="J19" t="n">
        <x:f>SUM(B19:I19)</x:f>
        <x:v>0</x:v>
      </x:c>
      <x:c r="K19" t="str">
        <x:f>IF(COUNTA(B19:I19)=0,"",IF(J19&lt;16,"HIGH",IF(J19&lt;26,"MEDIUM","LOW")))</x:f>
      </x:c>
      <x:c r="N19" s="18"/>
    </x:row>
    <x:row r="20">
      <x:c r="J20" t="n">
        <x:f>SUM(B20:I20)</x:f>
        <x:v>0</x:v>
      </x:c>
      <x:c r="K20" t="str">
        <x:f>IF(COUNTA(B20:I20)=0,"",IF(J20&lt;16,"HIGH",IF(J20&lt;26,"MEDIUM","LOW")))</x:f>
      </x:c>
      <x:c r="N20" s="18"/>
    </x:row>
    <x:row r="21">
      <x:c r="J21" t="n">
        <x:f>SUM(B21:I21)</x:f>
        <x:v>0</x:v>
      </x:c>
      <x:c r="K21" t="str">
        <x:f>IF(COUNTA(B21:I21)=0,"",IF(J21&lt;16,"HIGH",IF(J21&lt;26,"MEDIUM","LOW")))</x:f>
      </x:c>
      <x:c r="N21" s="18"/>
    </x:row>
    <x:row r="22">
      <x:c r="J22" t="n">
        <x:f>SUM(B22:I22)</x:f>
        <x:v>0</x:v>
      </x:c>
      <x:c r="K22" t="str">
        <x:f>IF(COUNTA(B22:I22)=0,"",IF(J22&lt;16,"HIGH",IF(J22&lt;26,"MEDIUM","LOW")))</x:f>
      </x:c>
      <x:c r="N22" s="18"/>
    </x:row>
    <x:row r="23">
      <x:c r="J23" t="n">
        <x:f>SUM(B23:I23)</x:f>
        <x:v>0</x:v>
      </x:c>
      <x:c r="K23" t="str">
        <x:f>IF(COUNTA(B23:I23)=0,"",IF(J23&lt;16,"HIGH",IF(J23&lt;26,"MEDIUM","LOW")))</x:f>
      </x:c>
      <x:c r="N23" s="18"/>
    </x:row>
    <x:row r="24">
      <x:c r="J24" t="n">
        <x:f>SUM(B24:I24)</x:f>
        <x:v>0</x:v>
      </x:c>
      <x:c r="K24" t="str">
        <x:f>IF(COUNTA(B24:I24)=0,"",IF(J24&lt;16,"HIGH",IF(J24&lt;26,"MEDIUM","LOW")))</x:f>
      </x:c>
      <x:c r="N24" s="18"/>
    </x:row>
    <x:row r="25">
      <x:c r="J25" t="n">
        <x:f>SUM(B25:I25)</x:f>
        <x:v>0</x:v>
      </x:c>
      <x:c r="K25" t="str">
        <x:f>IF(COUNTA(B25:I25)=0,"",IF(J25&lt;16,"HIGH",IF(J25&lt;26,"MEDIUM","LOW")))</x:f>
      </x:c>
      <x:c r="N25" s="18"/>
    </x:row>
    <x:row r="26">
      <x:c r="J26" t="n">
        <x:f>SUM(B26:I26)</x:f>
        <x:v>0</x:v>
      </x:c>
      <x:c r="K26" t="str">
        <x:f>IF(COUNTA(B26:I26)=0,"",IF(J26&lt;16,"HIGH",IF(J26&lt;26,"MEDIUM","LOW")))</x:f>
      </x:c>
      <x:c r="N26" s="18"/>
    </x:row>
    <x:row r="27">
      <x:c r="J27" t="n">
        <x:f>SUM(B27:I27)</x:f>
        <x:v>0</x:v>
      </x:c>
      <x:c r="K27" t="str">
        <x:f>IF(COUNTA(B27:I27)=0,"",IF(J27&lt;16,"HIGH",IF(J27&lt;26,"MEDIUM","LOW")))</x:f>
      </x:c>
      <x:c r="N27" s="18"/>
    </x:row>
    <x:row r="28">
      <x:c r="J28" t="n">
        <x:f>SUM(B28:I28)</x:f>
        <x:v>0</x:v>
      </x:c>
      <x:c r="K28" t="str">
        <x:f>IF(COUNTA(B28:I28)=0,"",IF(J28&lt;16,"HIGH",IF(J28&lt;26,"MEDIUM","LOW")))</x:f>
      </x:c>
      <x:c r="N28" s="18"/>
    </x:row>
    <x:row r="29">
      <x:c r="J29" t="n">
        <x:f>SUM(B29:I29)</x:f>
        <x:v>0</x:v>
      </x:c>
      <x:c r="K29" t="str">
        <x:f>IF(COUNTA(B29:I29)=0,"",IF(J29&lt;16,"HIGH",IF(J29&lt;26,"MEDIUM","LOW")))</x:f>
      </x:c>
      <x:c r="N29" s="18"/>
    </x:row>
    <x:row r="30">
      <x:c r="J30" t="n">
        <x:f>SUM(B30:I30)</x:f>
        <x:v>0</x:v>
      </x:c>
      <x:c r="K30" t="str">
        <x:f>IF(COUNTA(B30:I30)=0,"",IF(J30&lt;16,"HIGH",IF(J30&lt;26,"MEDIUM","LOW")))</x:f>
      </x:c>
      <x:c r="N30" s="18"/>
    </x:row>
    <x:row r="31">
      <x:c r="J31" t="n">
        <x:f>SUM(B31:I31)</x:f>
        <x:v>0</x:v>
      </x:c>
      <x:c r="K31" t="str">
        <x:f>IF(COUNTA(B31:I31)=0,"",IF(J31&lt;16,"HIGH",IF(J31&lt;26,"MEDIUM","LOW")))</x:f>
      </x:c>
      <x:c r="N31" s="18"/>
    </x:row>
    <x:row r="32">
      <x:c r="J32" t="n">
        <x:f>SUM(B32:I32)</x:f>
        <x:v>0</x:v>
      </x:c>
      <x:c r="K32" t="str">
        <x:f>IF(COUNTA(B32:I32)=0,"",IF(J32&lt;16,"HIGH",IF(J32&lt;26,"MEDIUM","LOW")))</x:f>
      </x:c>
      <x:c r="N32" s="18"/>
    </x:row>
    <x:row r="33">
      <x:c r="J33" t="n">
        <x:f>SUM(B33:I33)</x:f>
        <x:v>0</x:v>
      </x:c>
      <x:c r="K33" t="str">
        <x:f>IF(COUNTA(B33:I33)=0,"",IF(J33&lt;16,"HIGH",IF(J33&lt;26,"MEDIUM","LOW")))</x:f>
      </x:c>
      <x:c r="N33" s="18"/>
    </x:row>
    <x:row r="34">
      <x:c r="J34" t="n">
        <x:f>SUM(B34:I34)</x:f>
        <x:v>0</x:v>
      </x:c>
      <x:c r="K34" t="str">
        <x:f>IF(COUNTA(B34:I34)=0,"",IF(J34&lt;16,"HIGH",IF(J34&lt;26,"MEDIUM","LOW")))</x:f>
      </x:c>
      <x:c r="N34" s="18"/>
    </x:row>
    <x:row r="35">
      <x:c r="J35" t="n">
        <x:f>SUM(B35:I35)</x:f>
        <x:v>0</x:v>
      </x:c>
      <x:c r="K35" t="str">
        <x:f>IF(COUNTA(B35:I35)=0,"",IF(J35&lt;16,"HIGH",IF(J35&lt;26,"MEDIUM","LOW")))</x:f>
      </x:c>
      <x:c r="N35" s="18"/>
    </x:row>
    <x:row r="36">
      <x:c r="J36" t="n">
        <x:f>SUM(B36:I36)</x:f>
        <x:v>0</x:v>
      </x:c>
      <x:c r="K36" t="str">
        <x:f>IF(COUNTA(B36:I36)=0,"",IF(J36&lt;16,"HIGH",IF(J36&lt;26,"MEDIUM","LOW")))</x:f>
      </x:c>
      <x:c r="N36" s="18"/>
    </x:row>
    <x:row r="37">
      <x:c r="J37" t="n">
        <x:f>SUM(B37:I37)</x:f>
        <x:v>0</x:v>
      </x:c>
      <x:c r="K37" t="str">
        <x:f>IF(COUNTA(B37:I37)=0,"",IF(J37&lt;16,"HIGH",IF(J37&lt;26,"MEDIUM","LOW")))</x:f>
      </x:c>
      <x:c r="N37" s="18"/>
    </x:row>
    <x:row r="38">
      <x:c r="J38" t="n">
        <x:f>SUM(B38:I38)</x:f>
        <x:v>0</x:v>
      </x:c>
      <x:c r="K38" t="str">
        <x:f>IF(COUNTA(B38:I38)=0,"",IF(J38&lt;16,"HIGH",IF(J38&lt;26,"MEDIUM","LOW")))</x:f>
      </x:c>
      <x:c r="N38" s="18"/>
    </x:row>
    <x:row r="39">
      <x:c r="J39" t="n">
        <x:f>SUM(B39:I39)</x:f>
        <x:v>0</x:v>
      </x:c>
      <x:c r="K39" t="str">
        <x:f>IF(COUNTA(B39:I39)=0,"",IF(J39&lt;16,"HIGH",IF(J39&lt;26,"MEDIUM","LOW")))</x:f>
      </x:c>
      <x:c r="N39" s="18"/>
    </x:row>
    <x:row r="40">
      <x:c r="J40" t="n">
        <x:f>SUM(B40:I40)</x:f>
        <x:v>0</x:v>
      </x:c>
      <x:c r="K40" t="str">
        <x:f>IF(COUNTA(B40:I40)=0,"",IF(J40&lt;16,"HIGH",IF(J40&lt;26,"MEDIUM","LOW")))</x:f>
      </x:c>
      <x:c r="N40" s="18"/>
    </x:row>
    <x:row r="41">
      <x:c r="J41" t="n">
        <x:f>SUM(B41:I41)</x:f>
        <x:v>0</x:v>
      </x:c>
      <x:c r="K41" t="str">
        <x:f>IF(COUNTA(B41:I41)=0,"",IF(J41&lt;16,"HIGH",IF(J41&lt;26,"MEDIUM","LOW")))</x:f>
      </x:c>
      <x:c r="N41" s="18"/>
    </x:row>
    <x:row r="42">
      <x:c r="J42" t="n">
        <x:f>SUM(B42:I42)</x:f>
        <x:v>0</x:v>
      </x:c>
      <x:c r="K42" t="str">
        <x:f>IF(COUNTA(B42:I42)=0,"",IF(J42&lt;16,"HIGH",IF(J42&lt;26,"MEDIUM","LOW")))</x:f>
      </x:c>
      <x:c r="N42" s="18"/>
    </x:row>
    <x:row r="43">
      <x:c r="J43" t="n">
        <x:f>SUM(B43:I43)</x:f>
        <x:v>0</x:v>
      </x:c>
      <x:c r="K43" t="str">
        <x:f>IF(COUNTA(B43:I43)=0,"",IF(J43&lt;16,"HIGH",IF(J43&lt;26,"MEDIUM","LOW")))</x:f>
      </x:c>
      <x:c r="N43" s="18"/>
    </x:row>
    <x:row r="44">
      <x:c r="J44" t="n">
        <x:f>SUM(B44:I44)</x:f>
        <x:v>0</x:v>
      </x:c>
      <x:c r="K44" t="str">
        <x:f>IF(COUNTA(B44:I44)=0,"",IF(J44&lt;16,"HIGH",IF(J44&lt;26,"MEDIUM","LOW")))</x:f>
      </x:c>
      <x:c r="N44" s="18"/>
    </x:row>
    <x:row r="45">
      <x:c r="J45" t="n">
        <x:f>SUM(B45:I45)</x:f>
        <x:v>0</x:v>
      </x:c>
      <x:c r="K45" t="str">
        <x:f>IF(COUNTA(B45:I45)=0,"",IF(J45&lt;16,"HIGH",IF(J45&lt;26,"MEDIUM","LOW")))</x:f>
      </x:c>
      <x:c r="N45" s="18"/>
    </x:row>
    <x:row r="46">
      <x:c r="J46" t="n">
        <x:f>SUM(B46:I46)</x:f>
        <x:v>0</x:v>
      </x:c>
      <x:c r="K46" t="str">
        <x:f>IF(COUNTA(B46:I46)=0,"",IF(J46&lt;16,"HIGH",IF(J46&lt;26,"MEDIUM","LOW")))</x:f>
      </x:c>
      <x:c r="N46" s="18"/>
    </x:row>
    <x:row r="47">
      <x:c r="J47" t="n">
        <x:f>SUM(B47:I47)</x:f>
        <x:v>0</x:v>
      </x:c>
      <x:c r="K47" t="str">
        <x:f>IF(COUNTA(B47:I47)=0,"",IF(J47&lt;16,"HIGH",IF(J47&lt;26,"MEDIUM","LOW")))</x:f>
      </x:c>
      <x:c r="N47" s="18"/>
    </x:row>
    <x:row r="48">
      <x:c r="J48" t="n">
        <x:f>SUM(B48:I48)</x:f>
        <x:v>0</x:v>
      </x:c>
      <x:c r="K48" t="str">
        <x:f>IF(COUNTA(B48:I48)=0,"",IF(J48&lt;16,"HIGH",IF(J48&lt;26,"MEDIUM","LOW")))</x:f>
      </x:c>
      <x:c r="N48" s="18"/>
    </x:row>
    <x:row r="49">
      <x:c r="J49" t="n">
        <x:f>SUM(B49:I49)</x:f>
        <x:v>0</x:v>
      </x:c>
      <x:c r="K49" t="str">
        <x:f>IF(COUNTA(B49:I49)=0,"",IF(J49&lt;16,"HIGH",IF(J49&lt;26,"MEDIUM","LOW")))</x:f>
      </x:c>
      <x:c r="N49" s="18"/>
    </x:row>
    <x:row r="50">
      <x:c r="J50" t="n">
        <x:f>SUM(B50:I50)</x:f>
        <x:v>0</x:v>
      </x:c>
      <x:c r="K50" t="str">
        <x:f>IF(COUNTA(B50:I50)=0,"",IF(J50&lt;16,"HIGH",IF(J50&lt;26,"MEDIUM","LOW")))</x:f>
      </x:c>
      <x:c r="N50" s="18"/>
    </x:row>
    <x:row r="51">
      <x:c r="J51" t="n">
        <x:f>SUM(B51:I51)</x:f>
        <x:v>0</x:v>
      </x:c>
      <x:c r="K51" t="str">
        <x:f>IF(COUNTA(B51:I51)=0,"",IF(J51&lt;16,"HIGH",IF(J51&lt;26,"MEDIUM","LOW")))</x:f>
      </x:c>
      <x:c r="N51" s="18"/>
    </x:row>
    <x:row r="52">
      <x:c r="J52" t="n">
        <x:f>SUM(B52:I52)</x:f>
        <x:v>0</x:v>
      </x:c>
      <x:c r="K52" t="str">
        <x:f>IF(COUNTA(B52:I52)=0,"",IF(J52&lt;16,"HIGH",IF(J52&lt;26,"MEDIUM","LOW")))</x:f>
      </x:c>
      <x:c r="N52" s="18"/>
    </x:row>
    <x:row r="53">
      <x:c r="J53" t="n">
        <x:f>SUM(B53:I53)</x:f>
        <x:v>0</x:v>
      </x:c>
      <x:c r="K53" t="str">
        <x:f>IF(COUNTA(B53:I53)=0,"",IF(J53&lt;16,"HIGH",IF(J53&lt;26,"MEDIUM","LOW")))</x:f>
      </x:c>
      <x:c r="N53" s="18"/>
    </x:row>
    <x:row r="54">
      <x:c r="J54" t="n">
        <x:f>SUM(B54:I54)</x:f>
        <x:v>0</x:v>
      </x:c>
      <x:c r="K54" t="str">
        <x:f>IF(COUNTA(B54:I54)=0,"",IF(J54&lt;16,"HIGH",IF(J54&lt;26,"MEDIUM","LOW")))</x:f>
      </x:c>
      <x:c r="N54" s="18"/>
    </x:row>
    <x:row r="55">
      <x:c r="J55" t="n">
        <x:f>SUM(B55:I55)</x:f>
        <x:v>0</x:v>
      </x:c>
      <x:c r="K55" t="str">
        <x:f>IF(COUNTA(B55:I55)=0,"",IF(J55&lt;16,"HIGH",IF(J55&lt;26,"MEDIUM","LOW")))</x:f>
      </x:c>
      <x:c r="N55" s="18"/>
    </x:row>
    <x:row r="56">
      <x:c r="J56" t="n">
        <x:f>SUM(B56:I56)</x:f>
        <x:v>0</x:v>
      </x:c>
      <x:c r="K56" t="str">
        <x:f>IF(COUNTA(B56:I56)=0,"",IF(J56&lt;16,"HIGH",IF(J56&lt;26,"MEDIUM","LOW")))</x:f>
      </x:c>
      <x:c r="N56" s="18"/>
    </x:row>
    <x:row r="57">
      <x:c r="J57" t="n">
        <x:f>SUM(B57:I57)</x:f>
        <x:v>0</x:v>
      </x:c>
      <x:c r="K57" t="str">
        <x:f>IF(COUNTA(B57:I57)=0,"",IF(J57&lt;16,"HIGH",IF(J57&lt;26,"MEDIUM","LOW")))</x:f>
      </x:c>
      <x:c r="N57" s="18"/>
    </x:row>
    <x:row r="58">
      <x:c r="J58" t="n">
        <x:f>SUM(B58:I58)</x:f>
        <x:v>0</x:v>
      </x:c>
      <x:c r="K58" t="str">
        <x:f>IF(COUNTA(B58:I58)=0,"",IF(J58&lt;16,"HIGH",IF(J58&lt;26,"MEDIUM","LOW")))</x:f>
      </x:c>
      <x:c r="N58" s="18"/>
    </x:row>
    <x:row r="59">
      <x:c r="J59" t="n">
        <x:f>SUM(B59:I59)</x:f>
        <x:v>0</x:v>
      </x:c>
      <x:c r="K59" t="str">
        <x:f>IF(COUNTA(B59:I59)=0,"",IF(J59&lt;16,"HIGH",IF(J59&lt;26,"MEDIUM","LOW")))</x:f>
      </x:c>
      <x:c r="N59" s="18"/>
    </x:row>
    <x:row r="60">
      <x:c r="J60" t="n">
        <x:f>SUM(B60:I60)</x:f>
        <x:v>0</x:v>
      </x:c>
      <x:c r="K60" t="str">
        <x:f>IF(COUNTA(B60:I60)=0,"",IF(J60&lt;16,"HIGH",IF(J60&lt;26,"MEDIUM","LOW")))</x:f>
      </x:c>
      <x:c r="N60" s="18"/>
    </x:row>
    <x:row r="61">
      <x:c r="J61" t="n">
        <x:f>SUM(B61:I61)</x:f>
        <x:v>0</x:v>
      </x:c>
      <x:c r="K61" t="str">
        <x:f>IF(COUNTA(B61:I61)=0,"",IF(J61&lt;16,"HIGH",IF(J61&lt;26,"MEDIUM","LOW")))</x:f>
      </x:c>
      <x:c r="N61" s="18"/>
    </x:row>
    <x:row r="62">
      <x:c r="J62" t="n">
        <x:f>SUM(B62:I62)</x:f>
        <x:v>0</x:v>
      </x:c>
      <x:c r="K62" t="str">
        <x:f>IF(COUNTA(B62:I62)=0,"",IF(J62&lt;16,"HIGH",IF(J62&lt;26,"MEDIUM","LOW")))</x:f>
      </x:c>
      <x:c r="N62" s="18"/>
    </x:row>
    <x:row r="63">
      <x:c r="J63" t="n">
        <x:f>SUM(B63:I63)</x:f>
        <x:v>0</x:v>
      </x:c>
      <x:c r="K63" t="str">
        <x:f>IF(COUNTA(B63:I63)=0,"",IF(J63&lt;16,"HIGH",IF(J63&lt;26,"MEDIUM","LOW")))</x:f>
      </x:c>
      <x:c r="N63" s="18"/>
    </x:row>
    <x:row r="64">
      <x:c r="J64" t="n">
        <x:f>SUM(B64:I64)</x:f>
        <x:v>0</x:v>
      </x:c>
      <x:c r="K64" t="str">
        <x:f>IF(COUNTA(B64:I64)=0,"",IF(J64&lt;16,"HIGH",IF(J64&lt;26,"MEDIUM","LOW")))</x:f>
      </x:c>
      <x:c r="N64" s="18"/>
    </x:row>
    <x:row r="65">
      <x:c r="J65" t="n">
        <x:f>SUM(B65:I65)</x:f>
        <x:v>0</x:v>
      </x:c>
      <x:c r="K65" t="str">
        <x:f>IF(COUNTA(B65:I65)=0,"",IF(J65&lt;16,"HIGH",IF(J65&lt;26,"MEDIUM","LOW")))</x:f>
      </x:c>
      <x:c r="N65" s="18"/>
    </x:row>
    <x:row r="66">
      <x:c r="J66" t="n">
        <x:f>SUM(B66:I66)</x:f>
        <x:v>0</x:v>
      </x:c>
      <x:c r="K66" t="str">
        <x:f>IF(COUNTA(B66:I66)=0,"",IF(J66&lt;16,"HIGH",IF(J66&lt;26,"MEDIUM","LOW")))</x:f>
      </x:c>
      <x:c r="N66" s="18"/>
    </x:row>
    <x:row r="67">
      <x:c r="J67" t="n">
        <x:f>SUM(B67:I67)</x:f>
        <x:v>0</x:v>
      </x:c>
      <x:c r="K67" t="str">
        <x:f>IF(COUNTA(B67:I67)=0,"",IF(J67&lt;16,"HIGH",IF(J67&lt;26,"MEDIUM","LOW")))</x:f>
      </x:c>
      <x:c r="N67" s="18"/>
    </x:row>
    <x:row r="68">
      <x:c r="J68" t="n">
        <x:f>SUM(B68:I68)</x:f>
        <x:v>0</x:v>
      </x:c>
      <x:c r="K68" t="str">
        <x:f>IF(COUNTA(B68:I68)=0,"",IF(J68&lt;16,"HIGH",IF(J68&lt;26,"MEDIUM","LOW")))</x:f>
      </x:c>
      <x:c r="N68" s="18"/>
    </x:row>
    <x:row r="69">
      <x:c r="J69" t="n">
        <x:f>SUM(B69:I69)</x:f>
        <x:v>0</x:v>
      </x:c>
      <x:c r="K69" t="str">
        <x:f>IF(COUNTA(B69:I69)=0,"",IF(J69&lt;16,"HIGH",IF(J69&lt;26,"MEDIUM","LOW")))</x:f>
      </x:c>
      <x:c r="N69" s="18"/>
    </x:row>
    <x:row r="70">
      <x:c r="J70" t="n">
        <x:f>SUM(B70:I70)</x:f>
        <x:v>0</x:v>
      </x:c>
      <x:c r="K70" t="str">
        <x:f>IF(COUNTA(B70:I70)=0,"",IF(J70&lt;16,"HIGH",IF(J70&lt;26,"MEDIUM","LOW")))</x:f>
      </x:c>
      <x:c r="N70" s="18"/>
    </x:row>
    <x:row r="71">
      <x:c r="J71" t="n">
        <x:f>SUM(B71:I71)</x:f>
        <x:v>0</x:v>
      </x:c>
      <x:c r="K71" t="str">
        <x:f>IF(COUNTA(B71:I71)=0,"",IF(J71&lt;16,"HIGH",IF(J71&lt;26,"MEDIUM","LOW")))</x:f>
      </x:c>
      <x:c r="N71" s="18"/>
    </x:row>
    <x:row r="72">
      <x:c r="J72" t="n">
        <x:f>SUM(B72:I72)</x:f>
        <x:v>0</x:v>
      </x:c>
      <x:c r="K72" t="str">
        <x:f>IF(COUNTA(B72:I72)=0,"",IF(J72&lt;16,"HIGH",IF(J72&lt;26,"MEDIUM","LOW")))</x:f>
      </x:c>
      <x:c r="N72" s="18"/>
    </x:row>
    <x:row r="73">
      <x:c r="J73" t="n">
        <x:f>SUM(B73:I73)</x:f>
        <x:v>0</x:v>
      </x:c>
      <x:c r="K73" t="str">
        <x:f>IF(COUNTA(B73:I73)=0,"",IF(J73&lt;16,"HIGH",IF(J73&lt;26,"MEDIUM","LOW")))</x:f>
      </x:c>
      <x:c r="N73" s="18"/>
    </x:row>
    <x:row r="74">
      <x:c r="J74" t="n">
        <x:f>SUM(B74:I74)</x:f>
        <x:v>0</x:v>
      </x:c>
      <x:c r="K74" t="str">
        <x:f>IF(COUNTA(B74:I74)=0,"",IF(J74&lt;16,"HIGH",IF(J74&lt;26,"MEDIUM","LOW")))</x:f>
      </x:c>
      <x:c r="N74" s="18"/>
    </x:row>
    <x:row r="75">
      <x:c r="J75" t="n">
        <x:f>SUM(B75:I75)</x:f>
        <x:v>0</x:v>
      </x:c>
      <x:c r="K75" t="str">
        <x:f>IF(COUNTA(B75:I75)=0,"",IF(J75&lt;16,"HIGH",IF(J75&lt;26,"MEDIUM","LOW")))</x:f>
      </x:c>
      <x:c r="N75" s="18"/>
    </x:row>
    <x:row r="76">
      <x:c r="J76" t="n">
        <x:f>SUM(B76:I76)</x:f>
        <x:v>0</x:v>
      </x:c>
      <x:c r="K76" t="str">
        <x:f>IF(COUNTA(B76:I76)=0,"",IF(J76&lt;16,"HIGH",IF(J76&lt;26,"MEDIUM","LOW")))</x:f>
      </x:c>
      <x:c r="N76" s="18"/>
    </x:row>
    <x:row r="77">
      <x:c r="J77" t="n">
        <x:f>SUM(B77:I77)</x:f>
        <x:v>0</x:v>
      </x:c>
      <x:c r="K77" t="str">
        <x:f>IF(COUNTA(B77:I77)=0,"",IF(J77&lt;16,"HIGH",IF(J77&lt;26,"MEDIUM","LOW")))</x:f>
      </x:c>
      <x:c r="N77" s="18"/>
    </x:row>
    <x:row r="78">
      <x:c r="J78" t="n">
        <x:f>SUM(B78:I78)</x:f>
        <x:v>0</x:v>
      </x:c>
      <x:c r="K78" t="str">
        <x:f>IF(COUNTA(B78:I78)=0,"",IF(J78&lt;16,"HIGH",IF(J78&lt;26,"MEDIUM","LOW")))</x:f>
      </x:c>
      <x:c r="N78" s="18"/>
    </x:row>
    <x:row r="79">
      <x:c r="J79" t="n">
        <x:f>SUM(B79:I79)</x:f>
        <x:v>0</x:v>
      </x:c>
      <x:c r="K79" t="str">
        <x:f>IF(COUNTA(B79:I79)=0,"",IF(J79&lt;16,"HIGH",IF(J79&lt;26,"MEDIUM","LOW")))</x:f>
      </x:c>
      <x:c r="N79" s="18"/>
    </x:row>
    <x:row r="80">
      <x:c r="J80" t="n">
        <x:f>SUM(B80:I80)</x:f>
        <x:v>0</x:v>
      </x:c>
      <x:c r="K80" t="str">
        <x:f>IF(COUNTA(B80:I80)=0,"",IF(J80&lt;16,"HIGH",IF(J80&lt;26,"MEDIUM","LOW")))</x:f>
      </x:c>
      <x:c r="N80" s="18"/>
    </x:row>
    <x:row r="81">
      <x:c r="J81" t="n">
        <x:f>SUM(B81:I81)</x:f>
        <x:v>0</x:v>
      </x:c>
      <x:c r="K81" t="str">
        <x:f>IF(COUNTA(B81:I81)=0,"",IF(J81&lt;16,"HIGH",IF(J81&lt;26,"MEDIUM","LOW")))</x:f>
      </x:c>
      <x:c r="N81" s="18"/>
    </x:row>
    <x:row r="82">
      <x:c r="J82" t="n">
        <x:f>SUM(B82:I82)</x:f>
        <x:v>0</x:v>
      </x:c>
      <x:c r="K82" t="str">
        <x:f>IF(COUNTA(B82:I82)=0,"",IF(J82&lt;16,"HIGH",IF(J82&lt;26,"MEDIUM","LOW")))</x:f>
      </x:c>
      <x:c r="N82" s="18"/>
    </x:row>
    <x:row r="83">
      <x:c r="J83" t="n">
        <x:f>SUM(B83:I83)</x:f>
        <x:v>0</x:v>
      </x:c>
      <x:c r="K83" t="str">
        <x:f>IF(COUNTA(B83:I83)=0,"",IF(J83&lt;16,"HIGH",IF(J83&lt;26,"MEDIUM","LOW")))</x:f>
      </x:c>
      <x:c r="N83" s="18"/>
    </x:row>
    <x:row r="84">
      <x:c r="J84" t="n">
        <x:f>SUM(B84:I84)</x:f>
        <x:v>0</x:v>
      </x:c>
      <x:c r="K84" t="str">
        <x:f>IF(COUNTA(B84:I84)=0,"",IF(J84&lt;16,"HIGH",IF(J84&lt;26,"MEDIUM","LOW")))</x:f>
      </x:c>
      <x:c r="N84" s="18"/>
    </x:row>
    <x:row r="85">
      <x:c r="J85" t="n">
        <x:f>SUM(B85:I85)</x:f>
        <x:v>0</x:v>
      </x:c>
      <x:c r="K85" t="str">
        <x:f>IF(COUNTA(B85:I85)=0,"",IF(J85&lt;16,"HIGH",IF(J85&lt;26,"MEDIUM","LOW")))</x:f>
      </x:c>
      <x:c r="N85" s="18"/>
    </x:row>
    <x:row r="86">
      <x:c r="J86" t="n">
        <x:f>SUM(B86:I86)</x:f>
        <x:v>0</x:v>
      </x:c>
      <x:c r="K86" t="str">
        <x:f>IF(COUNTA(B86:I86)=0,"",IF(J86&lt;16,"HIGH",IF(J86&lt;26,"MEDIUM","LOW")))</x:f>
      </x:c>
      <x:c r="N86" s="18"/>
    </x:row>
    <x:row r="87">
      <x:c r="J87" t="n">
        <x:f>SUM(B87:I87)</x:f>
        <x:v>0</x:v>
      </x:c>
      <x:c r="K87" t="str">
        <x:f>IF(COUNTA(B87:I87)=0,"",IF(J87&lt;16,"HIGH",IF(J87&lt;26,"MEDIUM","LOW")))</x:f>
      </x:c>
      <x:c r="N87" s="18"/>
    </x:row>
    <x:row r="88">
      <x:c r="J88" t="n">
        <x:f>SUM(B88:I88)</x:f>
        <x:v>0</x:v>
      </x:c>
      <x:c r="K88" t="str">
        <x:f>IF(COUNTA(B88:I88)=0,"",IF(J88&lt;16,"HIGH",IF(J88&lt;26,"MEDIUM","LOW")))</x:f>
      </x:c>
      <x:c r="N88" s="18"/>
    </x:row>
    <x:row r="89">
      <x:c r="J89" t="n">
        <x:f>SUM(B89:I89)</x:f>
        <x:v>0</x:v>
      </x:c>
      <x:c r="K89" t="str">
        <x:f>IF(COUNTA(B89:I89)=0,"",IF(J89&lt;16,"HIGH",IF(J89&lt;26,"MEDIUM","LOW")))</x:f>
      </x:c>
      <x:c r="N89" s="18"/>
    </x:row>
    <x:row r="90">
      <x:c r="J90" t="n">
        <x:f>SUM(B90:I90)</x:f>
        <x:v>0</x:v>
      </x:c>
      <x:c r="K90" t="str">
        <x:f>IF(COUNTA(B90:I90)=0,"",IF(J90&lt;16,"HIGH",IF(J90&lt;26,"MEDIUM","LOW")))</x:f>
      </x:c>
      <x:c r="N90" s="18"/>
    </x:row>
    <x:row r="91">
      <x:c r="J91" t="n">
        <x:f>SUM(B91:I91)</x:f>
        <x:v>0</x:v>
      </x:c>
      <x:c r="K91" t="str">
        <x:f>IF(COUNTA(B91:I91)=0,"",IF(J91&lt;16,"HIGH",IF(J91&lt;26,"MEDIUM","LOW")))</x:f>
      </x:c>
      <x:c r="N91" s="18"/>
    </x:row>
    <x:row r="92">
      <x:c r="J92" t="n">
        <x:f>SUM(B92:I92)</x:f>
        <x:v>0</x:v>
      </x:c>
      <x:c r="K92" t="str">
        <x:f>IF(COUNTA(B92:I92)=0,"",IF(J92&lt;16,"HIGH",IF(J92&lt;26,"MEDIUM","LOW")))</x:f>
      </x:c>
      <x:c r="N92" s="18"/>
    </x:row>
    <x:row r="93">
      <x:c r="J93" t="n">
        <x:f>SUM(B93:I93)</x:f>
        <x:v>0</x:v>
      </x:c>
      <x:c r="K93" t="str">
        <x:f>IF(COUNTA(B93:I93)=0,"",IF(J93&lt;16,"HIGH",IF(J93&lt;26,"MEDIUM","LOW")))</x:f>
      </x:c>
      <x:c r="N93" s="18"/>
    </x:row>
    <x:row r="94">
      <x:c r="J94" t="n">
        <x:f>SUM(B94:I94)</x:f>
        <x:v>0</x:v>
      </x:c>
      <x:c r="K94" t="str">
        <x:f>IF(COUNTA(B94:I94)=0,"",IF(J94&lt;16,"HIGH",IF(J94&lt;26,"MEDIUM","LOW")))</x:f>
      </x:c>
      <x:c r="N94" s="18"/>
    </x:row>
    <x:row r="95">
      <x:c r="J95" t="n">
        <x:f>SUM(B95:I95)</x:f>
        <x:v>0</x:v>
      </x:c>
      <x:c r="K95" t="str">
        <x:f>IF(COUNTA(B95:I95)=0,"",IF(J95&lt;16,"HIGH",IF(J95&lt;26,"MEDIUM","LOW")))</x:f>
      </x:c>
      <x:c r="N95" s="18"/>
    </x:row>
    <x:row r="96">
      <x:c r="J96" t="n">
        <x:f>SUM(B96:I96)</x:f>
        <x:v>0</x:v>
      </x:c>
      <x:c r="K96" t="str">
        <x:f>IF(COUNTA(B96:I96)=0,"",IF(J96&lt;16,"HIGH",IF(J96&lt;26,"MEDIUM","LOW")))</x:f>
      </x:c>
      <x:c r="N96" s="18"/>
    </x:row>
    <x:row r="97">
      <x:c r="J97" t="n">
        <x:f>SUM(B97:I97)</x:f>
        <x:v>0</x:v>
      </x:c>
      <x:c r="K97" t="str">
        <x:f>IF(COUNTA(B97:I97)=0,"",IF(J97&lt;16,"HIGH",IF(J97&lt;26,"MEDIUM","LOW")))</x:f>
      </x:c>
      <x:c r="N97" s="18"/>
    </x:row>
    <x:row r="98">
      <x:c r="J98" t="n">
        <x:f>SUM(B98:I98)</x:f>
        <x:v>0</x:v>
      </x:c>
      <x:c r="K98" t="str">
        <x:f>IF(COUNTA(B98:I98)=0,"",IF(J98&lt;16,"HIGH",IF(J98&lt;26,"MEDIUM","LOW")))</x:f>
      </x:c>
      <x:c r="N98" s="18"/>
    </x:row>
    <x:row r="99">
      <x:c r="J99" t="n">
        <x:f>SUM(B99:I99)</x:f>
        <x:v>0</x:v>
      </x:c>
      <x:c r="K99" t="str">
        <x:f>IF(COUNTA(B99:I99)=0,"",IF(J99&lt;16,"HIGH",IF(J99&lt;26,"MEDIUM","LOW")))</x:f>
      </x:c>
      <x:c r="N99" s="18"/>
    </x:row>
    <x:row r="100">
      <x:c r="J100" t="n">
        <x:f>SUM(B100:I100)</x:f>
        <x:v>0</x:v>
      </x:c>
      <x:c r="K100" t="str">
        <x:f>IF(COUNTA(B100:I100)=0,"",IF(J100&lt;16,"HIGH",IF(J100&lt;26,"MEDIUM","LOW")))</x:f>
      </x:c>
      <x:c r="N100" s="18"/>
    </x:row>
    <x:row r="101">
      <x:c r="J101" t="n">
        <x:f>SUM(B101:I101)</x:f>
        <x:v>0</x:v>
      </x:c>
      <x:c r="K101" t="str">
        <x:f>IF(COUNTA(B101:I101)=0,"",IF(J101&lt;16,"HIGH",IF(J101&lt;26,"MEDIUM","LOW")))</x:f>
      </x:c>
      <x:c r="N101" s="18"/>
    </x:row>
  </x:sheetData>
  <x:conditionalFormatting sqref="J2:J1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{79520D02-26E1-3CA0-59E9-7D2D65D959B0}</x14:id>
        </x:ext>
      </x:extLst>
    </x:cfRule>
  </x:conditionalFormatting>
  <x:dataValidations count="8">
    <x:dataValidation operator="between" sqref="B2:B101">
      <x:formula1>0</x:formula1>
      <x:formula2>5</x:formula2>
    </x:dataValidation>
    <x:dataValidation operator="between" sqref="C2:C101">
      <x:formula1>0</x:formula1>
      <x:formula2>5</x:formula2>
    </x:dataValidation>
    <x:dataValidation operator="between" sqref="D2:D101">
      <x:formula1>0</x:formula1>
      <x:formula2>5</x:formula2>
    </x:dataValidation>
    <x:dataValidation operator="between" sqref="E2:E101">
      <x:formula1>0</x:formula1>
      <x:formula2>5</x:formula2>
    </x:dataValidation>
    <x:dataValidation operator="between" sqref="F2:F101">
      <x:formula1>0</x:formula1>
      <x:formula2>5</x:formula2>
    </x:dataValidation>
    <x:dataValidation operator="between" sqref="G2:G101">
      <x:formula1>0</x:formula1>
      <x:formula2>5</x:formula2>
    </x:dataValidation>
    <x:dataValidation operator="between" sqref="H2:H101">
      <x:formula1>0</x:formula1>
      <x:formula2>5</x:formula2>
    </x:dataValidation>
    <x:dataValidation operator="between" sqref="I2:I101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520D02-26E1-3CA0-59E9-7D2D65D959B0}">
            <x14:dataBar gradient="1">
              <x14:cfvo type="min"/>
              <x14:cfvo type="max"/>
              <x14:fillColor rgb="FFA02B93"/>
            </x14:dataBar>
          </x14:cfRule>
          <xm:sqref>J2:J101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4" hidden="0" customWidth="1"/>
    <x:col min="5" max="5" width="15" hidden="0" customWidth="1"/>
    <x:col min="6" max="6" width="17" hidden="0" customWidth="1"/>
    <x:col min="7" max="7" width="18" hidden="0" customWidth="1"/>
    <x:col min="8" max="8" width="24" hidden="0" customWidth="1"/>
    <x:col min="9" max="9" width="20" hidden="0" customWidth="1"/>
    <x:col min="10" max="10" width="30" hidden="0" customWidth="1"/>
    <x:col min="11" max="11" width="25" hidden="0" customWidth="1"/>
    <x:col min="12" max="12" width="24" hidden="0" customWidth="1"/>
    <x:col min="13" max="13" width="14" hidden="0" customWidth="1"/>
    <x:col min="14" max="14" width="30" hidden="0" customWidth="1"/>
    <x:col min="15" max="15" width="16" hidden="0" customWidth="1"/>
  </x:cols>
  <x:sheetData>
    <x:row r="1">
      <x:c r="A1" s="6" t="str">
        <x:v>Vendor</x:v>
      </x:c>
      <x:c r="B1" s="6" t="str">
        <x:v>Service</x:v>
      </x:c>
      <x:c r="C1" s="6" t="str">
        <x:v>Owner</x:v>
      </x:c>
      <x:c r="D1" s="6" t="str">
        <x:v>Tier</x:v>
      </x:c>
      <x:c r="E1" s="6" t="str">
        <x:v>Customer Data?</x:v>
      </x:c>
      <x:c r="F1" s="6" t="str">
        <x:v>Special Category?</x:v>
      </x:c>
      <x:c r="G1" s="6" t="str">
        <x:v>Region</x:v>
      </x:c>
      <x:c r="H1" s="6" t="str">
        <x:v>Transfer Mechanism</x:v>
      </x:c>
      <x:c r="I1" s="6" t="str">
        <x:v>DPA Status</x:v>
      </x:c>
      <x:c r="J1" s="6" t="str">
        <x:v>Security Evidence</x:v>
      </x:c>
      <x:c r="K1" s="6" t="str">
        <x:v>Incident Terms</x:v>
      </x:c>
      <x:c r="L1" s="6" t="str">
        <x:v>Deletion</x:v>
      </x:c>
      <x:c r="M1" s="6" t="str">
        <x:v>Renewal Date</x:v>
      </x:c>
      <x:c r="N1" s="6" t="str">
        <x:v>Exit Plan</x:v>
      </x:c>
      <x:c r="O1" s="6" t="str">
        <x:v>Status</x:v>
      </x:c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4"/>
      <x:c r="N2" s="22"/>
      <x:c r="O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4"/>
      <x:c r="N3" s="22"/>
      <x:c r="O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4"/>
      <x:c r="N4" s="22"/>
      <x:c r="O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4"/>
      <x:c r="N5" s="22"/>
      <x:c r="O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4"/>
      <x:c r="N6" s="22"/>
      <x:c r="O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4"/>
      <x:c r="N7" s="22"/>
      <x:c r="O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4"/>
      <x:c r="N8" s="22"/>
      <x:c r="O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4"/>
      <x:c r="N9" s="22"/>
      <x:c r="O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4"/>
      <x:c r="N10" s="22"/>
      <x:c r="O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4"/>
      <x:c r="N11" s="22"/>
      <x:c r="O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4"/>
      <x:c r="N12" s="22"/>
      <x:c r="O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4"/>
      <x:c r="N13" s="22"/>
      <x:c r="O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4"/>
      <x:c r="N14" s="22"/>
      <x:c r="O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4"/>
      <x:c r="N15" s="22"/>
      <x:c r="O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4"/>
      <x:c r="N16" s="22"/>
      <x:c r="O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4"/>
      <x:c r="N17" s="22"/>
      <x:c r="O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4"/>
      <x:c r="N18" s="22"/>
      <x:c r="O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4"/>
      <x:c r="N19" s="22"/>
      <x:c r="O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4"/>
      <x:c r="N20" s="22"/>
      <x:c r="O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4"/>
      <x:c r="N21" s="22"/>
      <x:c r="O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4"/>
      <x:c r="N22" s="22"/>
      <x:c r="O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4"/>
      <x:c r="N23" s="22"/>
      <x:c r="O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4"/>
      <x:c r="N24" s="22"/>
      <x:c r="O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4"/>
      <x:c r="N25" s="22"/>
      <x:c r="O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4"/>
      <x:c r="N26" s="22"/>
      <x:c r="O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4"/>
      <x:c r="N27" s="22"/>
      <x:c r="O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4"/>
      <x:c r="N28" s="22"/>
      <x:c r="O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4"/>
      <x:c r="N29" s="22"/>
      <x:c r="O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4"/>
      <x:c r="N30" s="22"/>
      <x:c r="O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4"/>
      <x:c r="N31" s="22"/>
      <x:c r="O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4"/>
      <x:c r="N32" s="22"/>
      <x:c r="O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4"/>
      <x:c r="N33" s="22"/>
      <x:c r="O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4"/>
      <x:c r="N34" s="22"/>
      <x:c r="O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4"/>
      <x:c r="N35" s="22"/>
      <x:c r="O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4"/>
      <x:c r="N36" s="22"/>
      <x:c r="O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4"/>
      <x:c r="N37" s="22"/>
      <x:c r="O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4"/>
      <x:c r="N38" s="22"/>
      <x:c r="O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4"/>
      <x:c r="N39" s="22"/>
      <x:c r="O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4"/>
      <x:c r="N40" s="22"/>
      <x:c r="O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4"/>
      <x:c r="N41" s="22"/>
      <x:c r="O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4"/>
      <x:c r="N42" s="22"/>
      <x:c r="O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4"/>
      <x:c r="N43" s="22"/>
      <x:c r="O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4"/>
      <x:c r="N44" s="22"/>
      <x:c r="O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4"/>
      <x:c r="N45" s="22"/>
      <x:c r="O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4"/>
      <x:c r="N46" s="22"/>
      <x:c r="O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4"/>
      <x:c r="N47" s="22"/>
      <x:c r="O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4"/>
      <x:c r="N48" s="22"/>
      <x:c r="O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4"/>
      <x:c r="N49" s="22"/>
      <x:c r="O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4"/>
      <x:c r="N50" s="22"/>
      <x:c r="O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4"/>
      <x:c r="N51" s="22"/>
      <x:c r="O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4"/>
      <x:c r="N52" s="22"/>
      <x:c r="O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4"/>
      <x:c r="N53" s="22"/>
      <x:c r="O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4"/>
      <x:c r="N54" s="22"/>
      <x:c r="O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4"/>
      <x:c r="N55" s="22"/>
      <x:c r="O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4"/>
      <x:c r="N56" s="22"/>
      <x:c r="O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4"/>
      <x:c r="N57" s="22"/>
      <x:c r="O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4"/>
      <x:c r="N58" s="22"/>
      <x:c r="O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4"/>
      <x:c r="N59" s="22"/>
      <x:c r="O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4"/>
      <x:c r="N60" s="22"/>
      <x:c r="O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4"/>
      <x:c r="N61" s="22"/>
      <x:c r="O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4"/>
      <x:c r="N62" s="22"/>
      <x:c r="O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4"/>
      <x:c r="N63" s="22"/>
      <x:c r="O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4"/>
      <x:c r="N64" s="22"/>
      <x:c r="O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4"/>
      <x:c r="N65" s="22"/>
      <x:c r="O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4"/>
      <x:c r="N66" s="22"/>
      <x:c r="O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4"/>
      <x:c r="N67" s="22"/>
      <x:c r="O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4"/>
      <x:c r="N68" s="22"/>
      <x:c r="O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4"/>
      <x:c r="N69" s="22"/>
      <x:c r="O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4"/>
      <x:c r="N70" s="22"/>
      <x:c r="O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4"/>
      <x:c r="N71" s="22"/>
      <x:c r="O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4"/>
      <x:c r="N72" s="22"/>
      <x:c r="O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4"/>
      <x:c r="N73" s="22"/>
      <x:c r="O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4"/>
      <x:c r="N74" s="22"/>
      <x:c r="O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4"/>
      <x:c r="N75" s="22"/>
      <x:c r="O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4"/>
      <x:c r="N76" s="22"/>
      <x:c r="O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4"/>
      <x:c r="N77" s="22"/>
      <x:c r="O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4"/>
      <x:c r="N78" s="22"/>
      <x:c r="O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4"/>
      <x:c r="N79" s="22"/>
      <x:c r="O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4"/>
      <x:c r="N80" s="22"/>
      <x:c r="O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4"/>
      <x:c r="N81" s="22"/>
      <x:c r="O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4"/>
      <x:c r="N82" s="22"/>
      <x:c r="O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4"/>
      <x:c r="N83" s="22"/>
      <x:c r="O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4"/>
      <x:c r="N84" s="22"/>
      <x:c r="O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4"/>
      <x:c r="N85" s="22"/>
      <x:c r="O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4"/>
      <x:c r="N86" s="22"/>
      <x:c r="O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4"/>
      <x:c r="N87" s="22"/>
      <x:c r="O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4"/>
      <x:c r="N88" s="22"/>
      <x:c r="O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4"/>
      <x:c r="N89" s="22"/>
      <x:c r="O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4"/>
      <x:c r="N90" s="22"/>
      <x:c r="O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4"/>
      <x:c r="N91" s="22"/>
      <x:c r="O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4"/>
      <x:c r="N92" s="22"/>
      <x:c r="O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4"/>
      <x:c r="N93" s="22"/>
      <x:c r="O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4"/>
      <x:c r="N94" s="22"/>
      <x:c r="O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4"/>
      <x:c r="N95" s="22"/>
      <x:c r="O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4"/>
      <x:c r="N96" s="22"/>
      <x:c r="O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4"/>
      <x:c r="N97" s="22"/>
      <x:c r="O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4"/>
      <x:c r="N98" s="22"/>
      <x:c r="O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4"/>
      <x:c r="N99" s="22"/>
      <x:c r="O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4"/>
      <x:c r="N100" s="22"/>
      <x:c r="O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4"/>
      <x:c r="N101" s="22"/>
      <x:c r="O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4"/>
      <x:c r="N102" s="22"/>
      <x:c r="O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4"/>
      <x:c r="N103" s="22"/>
      <x:c r="O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4"/>
      <x:c r="N104" s="22"/>
      <x:c r="O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4"/>
      <x:c r="N105" s="22"/>
      <x:c r="O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4"/>
      <x:c r="N106" s="22"/>
      <x:c r="O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4"/>
      <x:c r="N107" s="22"/>
      <x:c r="O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4"/>
      <x:c r="N108" s="22"/>
      <x:c r="O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4"/>
      <x:c r="N109" s="22"/>
      <x:c r="O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4"/>
      <x:c r="N110" s="22"/>
      <x:c r="O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4"/>
      <x:c r="N111" s="22"/>
      <x:c r="O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4"/>
      <x:c r="N112" s="22"/>
      <x:c r="O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4"/>
      <x:c r="N113" s="22"/>
      <x:c r="O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4"/>
      <x:c r="N114" s="22"/>
      <x:c r="O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4"/>
      <x:c r="N115" s="22"/>
      <x:c r="O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4"/>
      <x:c r="N116" s="22"/>
      <x:c r="O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4"/>
      <x:c r="N117" s="22"/>
      <x:c r="O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4"/>
      <x:c r="N118" s="22"/>
      <x:c r="O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4"/>
      <x:c r="N119" s="22"/>
      <x:c r="O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4"/>
      <x:c r="N120" s="22"/>
      <x:c r="O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4"/>
      <x:c r="N121" s="22"/>
      <x:c r="O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4"/>
      <x:c r="N122" s="22"/>
      <x:c r="O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4"/>
      <x:c r="N123" s="22"/>
      <x:c r="O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4"/>
      <x:c r="N124" s="22"/>
      <x:c r="O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4"/>
      <x:c r="N125" s="22"/>
      <x:c r="O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4"/>
      <x:c r="N126" s="22"/>
      <x:c r="O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4"/>
      <x:c r="N127" s="22"/>
      <x:c r="O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4"/>
      <x:c r="N128" s="22"/>
      <x:c r="O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4"/>
      <x:c r="N129" s="22"/>
      <x:c r="O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4"/>
      <x:c r="N130" s="22"/>
      <x:c r="O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4"/>
      <x:c r="N131" s="22"/>
      <x:c r="O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4"/>
      <x:c r="N132" s="22"/>
      <x:c r="O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4"/>
      <x:c r="N133" s="22"/>
      <x:c r="O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4"/>
      <x:c r="N134" s="22"/>
      <x:c r="O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4"/>
      <x:c r="N135" s="22"/>
      <x:c r="O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4"/>
      <x:c r="N136" s="22"/>
      <x:c r="O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4"/>
      <x:c r="N137" s="22"/>
      <x:c r="O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4"/>
      <x:c r="N138" s="22"/>
      <x:c r="O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4"/>
      <x:c r="N139" s="22"/>
      <x:c r="O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4"/>
      <x:c r="N140" s="22"/>
      <x:c r="O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4"/>
      <x:c r="N141" s="22"/>
      <x:c r="O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4"/>
      <x:c r="N142" s="22"/>
      <x:c r="O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4"/>
      <x:c r="N143" s="22"/>
      <x:c r="O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4"/>
      <x:c r="N144" s="22"/>
      <x:c r="O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4"/>
      <x:c r="N145" s="22"/>
      <x:c r="O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4"/>
      <x:c r="N146" s="22"/>
      <x:c r="O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4"/>
      <x:c r="N147" s="22"/>
      <x:c r="O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4"/>
      <x:c r="N148" s="22"/>
      <x:c r="O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4"/>
      <x:c r="N149" s="22"/>
      <x:c r="O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4"/>
      <x:c r="N150" s="22"/>
      <x:c r="O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4"/>
      <x:c r="N151" s="22"/>
      <x:c r="O151" s="22"/>
    </x:row>
  </x:sheetData>
  <x:dataValidations count="3">
    <x:dataValidation type="list" sqref="D2:D151">
      <x:formula1>Lists!$D$2:$D$5</x:formula1>
    </x:dataValidation>
    <x:dataValidation type="list" sqref="E2:F151">
      <x:formula1>"Yes,No,Unknown"</x:formula1>
    </x:dataValidation>
    <x:dataValidation type="list" sqref="O2:O151">
      <x:formula1>Lists!$C$2:$C$6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6" t="str">
        <x:v>Activity</x:v>
      </x:c>
      <x:c r="B1" s="6" t="str">
        <x:v>Owner</x:v>
      </x:c>
      <x:c r="C1" s="6" t="str">
        <x:v>Role</x:v>
      </x:c>
      <x:c r="D1" s="6" t="str">
        <x:v>Purpose</x:v>
      </x:c>
      <x:c r="E1" s="6" t="str">
        <x:v>Data Subjects</x:v>
      </x:c>
      <x:c r="F1" s="6" t="str">
        <x:v>Data Categories</x:v>
      </x:c>
      <x:c r="G1" s="6" t="str">
        <x:v>Special Category</x:v>
      </x:c>
      <x:c r="H1" s="6" t="str">
        <x:v>Lawful Basis</x:v>
      </x:c>
      <x:c r="I1" s="6" t="str">
        <x:v>Article 9 Condition</x:v>
      </x:c>
      <x:c r="J1" s="6" t="str">
        <x:v>Recipients</x:v>
      </x:c>
      <x:c r="K1" s="6" t="str">
        <x:v>Subprocessors</x:v>
      </x:c>
      <x:c r="L1" s="6" t="str">
        <x:v>Region/Transfer</x:v>
      </x:c>
      <x:c r="M1" s="6" t="str">
        <x:v>Retention</x:v>
      </x:c>
      <x:c r="N1" s="6" t="str">
        <x:v>Security Controls</x:v>
      </x:c>
      <x:c r="O1" s="6" t="str">
        <x:v>DPIA Required</x:v>
      </x:c>
      <x:c r="P1" s="6" t="str">
        <x:v>Status</x:v>
      </x:c>
    </x:row>
    <x:row r="2">
      <x:c r="A2" s="22" t="str">
        <x:v>Customer account administration</x:v>
      </x:c>
      <x:c r="B2" s="22" t="str"/>
      <x:c r="C2" s="22" t="str">
        <x:v>Controller</x:v>
      </x:c>
      <x:c r="D2" s="22" t="str">
        <x:v>Administer users/contracts</x:v>
      </x:c>
      <x:c r="E2" s="22" t="str">
        <x:v>Customer users/admins</x:v>
      </x:c>
      <x:c r="F2" s="22" t="str">
        <x:v>Contact/account data</x:v>
      </x:c>
      <x:c r="G2" s="22" t="str">
        <x:v>No</x:v>
      </x:c>
      <x:c r="H2" s="22" t="str"/>
      <x:c r="I2" s="22" t="str"/>
      <x:c r="J2" s="22" t="str"/>
      <x:c r="K2" s="22" t="str"/>
      <x:c r="L2" s="22" t="str"/>
      <x:c r="M2" s="22" t="str"/>
      <x:c r="N2" s="22" t="str"/>
      <x:c r="O2" s="22" t="str">
        <x:v>No</x:v>
      </x:c>
      <x:c r="P2" s="22" t="str">
        <x:v>NOT STARTED</x:v>
      </x:c>
    </x:row>
    <x:row r="3">
      <x:c r="A3" s="22" t="str">
        <x:v>Customer legal-matter processing</x:v>
      </x:c>
      <x:c r="B3" s="22" t="str"/>
      <x:c r="C3" s="22" t="str">
        <x:v>Processor</x:v>
      </x:c>
      <x:c r="D3" s="22" t="str">
        <x:v>Provide legal operations platform</x:v>
      </x:c>
      <x:c r="E3" s="22" t="str">
        <x:v>Clients, opponents, witnesses, staff</x:v>
      </x:c>
      <x:c r="F3" s="22" t="str">
        <x:v>Matter, communications, documents</x:v>
      </x:c>
      <x:c r="G3" s="22" t="str">
        <x:v>Yes</x:v>
      </x:c>
      <x:c r="H3" s="22" t="str"/>
      <x:c r="I3" s="22" t="str"/>
      <x:c r="J3" s="22" t="str"/>
      <x:c r="K3" s="22" t="str"/>
      <x:c r="L3" s="22" t="str"/>
      <x:c r="M3" s="22" t="str"/>
      <x:c r="N3" s="22" t="str"/>
      <x:c r="O3" s="22" t="str">
        <x:v>Yes</x:v>
      </x:c>
      <x:c r="P3" s="22" t="str">
        <x:v>NOT STARTED</x:v>
      </x:c>
    </x:row>
    <x:row r="4">
      <x:c r="A4" s="22" t="str">
        <x:v>Support</x:v>
      </x:c>
      <x:c r="B4" s="22" t="str"/>
      <x:c r="C4" s="22" t="str">
        <x:v>Mixed</x:v>
      </x:c>
      <x:c r="D4" s="22" t="str">
        <x:v>Resolve customer issues</x:v>
      </x:c>
      <x:c r="E4" s="22" t="str">
        <x:v>Customer users</x:v>
      </x:c>
      <x:c r="F4" s="22" t="str">
        <x:v>Account/technical metadata</x:v>
      </x:c>
      <x:c r="G4" s="22" t="str">
        <x:v>Mixed</x:v>
      </x:c>
      <x:c r="H4" s="22" t="str"/>
      <x:c r="I4" s="22" t="str"/>
      <x:c r="J4" s="22" t="str"/>
      <x:c r="K4" s="22" t="str"/>
      <x:c r="L4" s="22" t="str"/>
      <x:c r="M4" s="22" t="str"/>
      <x:c r="N4" s="22" t="str"/>
      <x:c r="O4" s="22" t="str">
        <x:v>Review</x:v>
      </x:c>
      <x:c r="P4" s="22" t="str">
        <x:v>NOT STARTED</x:v>
      </x:c>
    </x:row>
    <x:row r="5">
      <x:c r="A5" s="22" t="str">
        <x:v>Product telemetry</x:v>
      </x:c>
      <x:c r="B5" s="22" t="str"/>
      <x:c r="C5" s="22" t="str">
        <x:v>Controller</x:v>
      </x:c>
      <x:c r="D5" s="22" t="str">
        <x:v>Operate/improve product</x:v>
      </x:c>
      <x:c r="E5" s="22" t="str">
        <x:v>Customer users</x:v>
      </x:c>
      <x:c r="F5" s="22" t="str">
        <x:v>Pseudonymous usage metadata</x:v>
      </x:c>
      <x:c r="G5" s="22" t="str">
        <x:v>No</x:v>
      </x:c>
      <x:c r="H5" s="22" t="str"/>
      <x:c r="I5" s="22" t="str"/>
      <x:c r="J5" s="22" t="str"/>
      <x:c r="K5" s="22" t="str"/>
      <x:c r="L5" s="22" t="str"/>
      <x:c r="M5" s="22" t="str"/>
      <x:c r="N5" s="22" t="str"/>
      <x:c r="O5" s="22" t="str">
        <x:v>Review</x:v>
      </x:c>
      <x:c r="P5" s="22" t="str">
        <x:v>NOT STARTED</x:v>
      </x:c>
    </x:row>
    <x:row r="6">
      <x:c r="A6" s="22" t="str">
        <x:v>Sales CRM</x:v>
      </x:c>
      <x:c r="B6" s="22" t="str"/>
      <x:c r="C6" s="22" t="str">
        <x:v>Controller</x:v>
      </x:c>
      <x:c r="D6" s="22" t="str">
        <x:v>B2B sales</x:v>
      </x:c>
      <x:c r="E6" s="22" t="str">
        <x:v>Prospects</x:v>
      </x:c>
      <x:c r="F6" s="22" t="str">
        <x:v>Business contact data</x:v>
      </x:c>
      <x:c r="G6" s="22" t="str">
        <x:v>No</x:v>
      </x:c>
      <x:c r="H6" s="22" t="str"/>
      <x:c r="I6" s="22" t="str"/>
      <x:c r="J6" s="22" t="str"/>
      <x:c r="K6" s="22" t="str"/>
      <x:c r="L6" s="22" t="str"/>
      <x:c r="M6" s="22" t="str"/>
      <x:c r="N6" s="22" t="str"/>
      <x:c r="O6" s="22" t="str">
        <x:v>No</x:v>
      </x:c>
      <x:c r="P6" s="22" t="str">
        <x:v>NOT STARTED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</x:row>
  </x:sheetData>
  <x:dataValidations count="3">
    <x:dataValidation type="list" sqref="G2:G101">
      <x:formula1>"Yes,No,Mixed"</x:formula1>
    </x:dataValidation>
    <x:dataValidation type="list" sqref="O2:O101">
      <x:formula1>"Yes,No,Review"</x:formula1>
    </x:dataValidation>
    <x:dataValidation type="list" sqref="P2:P101">
      <x:formula1>Lists!$C$2:$C$6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18" hidden="0" customWidth="1"/>
    <x:col min="17" max="17" width="18" hidden="0" customWidth="1"/>
  </x:cols>
  <x:sheetData>
    <x:row r="1">
      <x:c r="A1" s="6" t="str">
        <x:v>Incident ID</x:v>
      </x:c>
      <x:c r="B1" s="6" t="str">
        <x:v>Awareness Time</x:v>
      </x:c>
      <x:c r="C1" s="6" t="str">
        <x:v>Event Time</x:v>
      </x:c>
      <x:c r="D1" s="6" t="str">
        <x:v>Nature</x:v>
      </x:c>
      <x:c r="E1" s="6" t="str">
        <x:v>Data Categories</x:v>
      </x:c>
      <x:c r="F1" s="6" t="str">
        <x:v>Special Category</x:v>
      </x:c>
      <x:c r="G1" s="6" t="str">
        <x:v>People Affected</x:v>
      </x:c>
      <x:c r="H1" s="6" t="str">
        <x:v>Records Affected</x:v>
      </x:c>
      <x:c r="I1" s="6" t="str">
        <x:v>Risk</x:v>
      </x:c>
      <x:c r="J1" s="6" t="str">
        <x:v>Containment</x:v>
      </x:c>
      <x:c r="K1" s="6" t="str">
        <x:v>Customer Notified</x:v>
      </x:c>
      <x:c r="L1" s="6" t="str">
        <x:v>ICO Reportable</x:v>
      </x:c>
      <x:c r="M1" s="6" t="str">
        <x:v>ICO Reported At</x:v>
      </x:c>
      <x:c r="N1" s="6" t="str">
        <x:v>Individual Notice</x:v>
      </x:c>
      <x:c r="O1" s="6" t="str">
        <x:v>Rationale</x:v>
      </x:c>
      <x:c r="P1" s="6" t="str">
        <x:v>Owner</x:v>
      </x:c>
      <x:c r="Q1" s="6" t="str">
        <x:v>Status</x:v>
      </x:c>
    </x:row>
    <x:row r="2">
      <x:c r="A2" t="str">
        <x:v>INC-001</x:v>
      </x:c>
      <x:c r="B2" s="28"/>
      <x:c r="C2" s="28"/>
      <x:c r="M2" s="28"/>
    </x:row>
    <x:row r="3">
      <x:c r="A3" t="str">
        <x:v>INC-002</x:v>
      </x:c>
      <x:c r="B3" s="28"/>
      <x:c r="C3" s="28"/>
      <x:c r="M3" s="28"/>
    </x:row>
    <x:row r="4">
      <x:c r="A4" t="str">
        <x:v>INC-003</x:v>
      </x:c>
      <x:c r="B4" s="28"/>
      <x:c r="C4" s="28"/>
      <x:c r="M4" s="28"/>
    </x:row>
    <x:row r="5">
      <x:c r="A5" t="str">
        <x:v>INC-004</x:v>
      </x:c>
      <x:c r="B5" s="28"/>
      <x:c r="C5" s="28"/>
      <x:c r="M5" s="28"/>
    </x:row>
    <x:row r="6">
      <x:c r="A6" t="str">
        <x:v>INC-005</x:v>
      </x:c>
      <x:c r="B6" s="28"/>
      <x:c r="C6" s="28"/>
      <x:c r="M6" s="28"/>
    </x:row>
    <x:row r="7">
      <x:c r="A7" t="str">
        <x:v>INC-006</x:v>
      </x:c>
      <x:c r="B7" s="28"/>
      <x:c r="C7" s="28"/>
      <x:c r="M7" s="28"/>
    </x:row>
    <x:row r="8">
      <x:c r="A8" t="str">
        <x:v>INC-007</x:v>
      </x:c>
      <x:c r="B8" s="28"/>
      <x:c r="C8" s="28"/>
      <x:c r="M8" s="28"/>
    </x:row>
    <x:row r="9">
      <x:c r="A9" t="str">
        <x:v>INC-008</x:v>
      </x:c>
      <x:c r="B9" s="28"/>
      <x:c r="C9" s="28"/>
      <x:c r="M9" s="28"/>
    </x:row>
    <x:row r="10">
      <x:c r="A10" t="str">
        <x:v>INC-009</x:v>
      </x:c>
      <x:c r="B10" s="28"/>
      <x:c r="C10" s="28"/>
      <x:c r="M10" s="28"/>
    </x:row>
    <x:row r="11">
      <x:c r="A11" t="str">
        <x:v>INC-010</x:v>
      </x:c>
      <x:c r="B11" s="28"/>
      <x:c r="C11" s="28"/>
      <x:c r="M11" s="28"/>
    </x:row>
    <x:row r="12">
      <x:c r="A12" t="str">
        <x:v>INC-011</x:v>
      </x:c>
      <x:c r="B12" s="28"/>
      <x:c r="C12" s="28"/>
      <x:c r="M12" s="28"/>
    </x:row>
    <x:row r="13">
      <x:c r="A13" t="str">
        <x:v>INC-012</x:v>
      </x:c>
      <x:c r="B13" s="28"/>
      <x:c r="C13" s="28"/>
      <x:c r="M13" s="28"/>
    </x:row>
    <x:row r="14">
      <x:c r="A14" t="str">
        <x:v>INC-013</x:v>
      </x:c>
      <x:c r="B14" s="28"/>
      <x:c r="C14" s="28"/>
      <x:c r="M14" s="28"/>
    </x:row>
    <x:row r="15">
      <x:c r="A15" t="str">
        <x:v>INC-014</x:v>
      </x:c>
      <x:c r="B15" s="28"/>
      <x:c r="C15" s="28"/>
      <x:c r="M15" s="28"/>
    </x:row>
    <x:row r="16">
      <x:c r="A16" t="str">
        <x:v>INC-015</x:v>
      </x:c>
      <x:c r="B16" s="28"/>
      <x:c r="C16" s="28"/>
      <x:c r="M16" s="28"/>
    </x:row>
    <x:row r="17">
      <x:c r="A17" t="str">
        <x:v>INC-016</x:v>
      </x:c>
      <x:c r="B17" s="28"/>
      <x:c r="C17" s="28"/>
      <x:c r="M17" s="28"/>
    </x:row>
    <x:row r="18">
      <x:c r="A18" t="str">
        <x:v>INC-017</x:v>
      </x:c>
      <x:c r="B18" s="28"/>
      <x:c r="C18" s="28"/>
      <x:c r="M18" s="28"/>
    </x:row>
    <x:row r="19">
      <x:c r="A19" t="str">
        <x:v>INC-018</x:v>
      </x:c>
      <x:c r="B19" s="28"/>
      <x:c r="C19" s="28"/>
      <x:c r="M19" s="28"/>
    </x:row>
    <x:row r="20">
      <x:c r="A20" t="str">
        <x:v>INC-019</x:v>
      </x:c>
      <x:c r="B20" s="28"/>
      <x:c r="C20" s="28"/>
      <x:c r="M20" s="28"/>
    </x:row>
    <x:row r="21">
      <x:c r="A21" t="str">
        <x:v>INC-020</x:v>
      </x:c>
      <x:c r="B21" s="28"/>
      <x:c r="C21" s="28"/>
      <x:c r="M21" s="28"/>
    </x:row>
    <x:row r="22">
      <x:c r="A22" t="str">
        <x:v>INC-021</x:v>
      </x:c>
      <x:c r="B22" s="28"/>
      <x:c r="C22" s="28"/>
      <x:c r="M22" s="28"/>
    </x:row>
    <x:row r="23">
      <x:c r="A23" t="str">
        <x:v>INC-022</x:v>
      </x:c>
      <x:c r="B23" s="28"/>
      <x:c r="C23" s="28"/>
      <x:c r="M23" s="28"/>
    </x:row>
    <x:row r="24">
      <x:c r="A24" t="str">
        <x:v>INC-023</x:v>
      </x:c>
      <x:c r="B24" s="28"/>
      <x:c r="C24" s="28"/>
      <x:c r="M24" s="28"/>
    </x:row>
    <x:row r="25">
      <x:c r="A25" t="str">
        <x:v>INC-024</x:v>
      </x:c>
      <x:c r="B25" s="28"/>
      <x:c r="C25" s="28"/>
      <x:c r="M25" s="28"/>
    </x:row>
    <x:row r="26">
      <x:c r="A26" t="str">
        <x:v>INC-025</x:v>
      </x:c>
      <x:c r="B26" s="28"/>
      <x:c r="C26" s="28"/>
      <x:c r="M26" s="28"/>
    </x:row>
    <x:row r="27">
      <x:c r="A27" t="str">
        <x:v>INC-026</x:v>
      </x:c>
      <x:c r="B27" s="28"/>
      <x:c r="C27" s="28"/>
      <x:c r="M27" s="28"/>
    </x:row>
    <x:row r="28">
      <x:c r="A28" t="str">
        <x:v>INC-027</x:v>
      </x:c>
      <x:c r="B28" s="28"/>
      <x:c r="C28" s="28"/>
      <x:c r="M28" s="28"/>
    </x:row>
    <x:row r="29">
      <x:c r="A29" t="str">
        <x:v>INC-028</x:v>
      </x:c>
      <x:c r="B29" s="28"/>
      <x:c r="C29" s="28"/>
      <x:c r="M29" s="28"/>
    </x:row>
    <x:row r="30">
      <x:c r="A30" t="str">
        <x:v>INC-029</x:v>
      </x:c>
      <x:c r="B30" s="28"/>
      <x:c r="C30" s="28"/>
      <x:c r="M30" s="28"/>
    </x:row>
    <x:row r="31">
      <x:c r="A31" t="str">
        <x:v>INC-030</x:v>
      </x:c>
      <x:c r="B31" s="28"/>
      <x:c r="C31" s="28"/>
      <x:c r="M31" s="28"/>
    </x:row>
    <x:row r="32">
      <x:c r="A32" t="str">
        <x:v>INC-031</x:v>
      </x:c>
      <x:c r="B32" s="28"/>
      <x:c r="C32" s="28"/>
      <x:c r="M32" s="28"/>
    </x:row>
    <x:row r="33">
      <x:c r="A33" t="str">
        <x:v>INC-032</x:v>
      </x:c>
      <x:c r="B33" s="28"/>
      <x:c r="C33" s="28"/>
      <x:c r="M33" s="28"/>
    </x:row>
    <x:row r="34">
      <x:c r="A34" t="str">
        <x:v>INC-033</x:v>
      </x:c>
      <x:c r="B34" s="28"/>
      <x:c r="C34" s="28"/>
      <x:c r="M34" s="28"/>
    </x:row>
    <x:row r="35">
      <x:c r="A35" t="str">
        <x:v>INC-034</x:v>
      </x:c>
      <x:c r="B35" s="28"/>
      <x:c r="C35" s="28"/>
      <x:c r="M35" s="28"/>
    </x:row>
    <x:row r="36">
      <x:c r="A36" t="str">
        <x:v>INC-035</x:v>
      </x:c>
      <x:c r="B36" s="28"/>
      <x:c r="C36" s="28"/>
      <x:c r="M36" s="28"/>
    </x:row>
    <x:row r="37">
      <x:c r="A37" t="str">
        <x:v>INC-036</x:v>
      </x:c>
      <x:c r="B37" s="28"/>
      <x:c r="C37" s="28"/>
      <x:c r="M37" s="28"/>
    </x:row>
    <x:row r="38">
      <x:c r="A38" t="str">
        <x:v>INC-037</x:v>
      </x:c>
      <x:c r="B38" s="28"/>
      <x:c r="C38" s="28"/>
      <x:c r="M38" s="28"/>
    </x:row>
    <x:row r="39">
      <x:c r="A39" t="str">
        <x:v>INC-038</x:v>
      </x:c>
      <x:c r="B39" s="28"/>
      <x:c r="C39" s="28"/>
      <x:c r="M39" s="28"/>
    </x:row>
    <x:row r="40">
      <x:c r="A40" t="str">
        <x:v>INC-039</x:v>
      </x:c>
      <x:c r="B40" s="28"/>
      <x:c r="C40" s="28"/>
      <x:c r="M40" s="28"/>
    </x:row>
    <x:row r="41">
      <x:c r="A41" t="str">
        <x:v>INC-040</x:v>
      </x:c>
      <x:c r="B41" s="28"/>
      <x:c r="C41" s="28"/>
      <x:c r="M41" s="28"/>
    </x:row>
    <x:row r="42">
      <x:c r="A42" t="str">
        <x:v>INC-041</x:v>
      </x:c>
      <x:c r="B42" s="28"/>
      <x:c r="C42" s="28"/>
      <x:c r="M42" s="28"/>
    </x:row>
    <x:row r="43">
      <x:c r="A43" t="str">
        <x:v>INC-042</x:v>
      </x:c>
      <x:c r="B43" s="28"/>
      <x:c r="C43" s="28"/>
      <x:c r="M43" s="28"/>
    </x:row>
    <x:row r="44">
      <x:c r="A44" t="str">
        <x:v>INC-043</x:v>
      </x:c>
      <x:c r="B44" s="28"/>
      <x:c r="C44" s="28"/>
      <x:c r="M44" s="28"/>
    </x:row>
    <x:row r="45">
      <x:c r="A45" t="str">
        <x:v>INC-044</x:v>
      </x:c>
      <x:c r="B45" s="28"/>
      <x:c r="C45" s="28"/>
      <x:c r="M45" s="28"/>
    </x:row>
    <x:row r="46">
      <x:c r="A46" t="str">
        <x:v>INC-045</x:v>
      </x:c>
      <x:c r="B46" s="28"/>
      <x:c r="C46" s="28"/>
      <x:c r="M46" s="28"/>
    </x:row>
    <x:row r="47">
      <x:c r="A47" t="str">
        <x:v>INC-046</x:v>
      </x:c>
      <x:c r="B47" s="28"/>
      <x:c r="C47" s="28"/>
      <x:c r="M47" s="28"/>
    </x:row>
    <x:row r="48">
      <x:c r="A48" t="str">
        <x:v>INC-047</x:v>
      </x:c>
      <x:c r="B48" s="28"/>
      <x:c r="C48" s="28"/>
      <x:c r="M48" s="28"/>
    </x:row>
    <x:row r="49">
      <x:c r="A49" t="str">
        <x:v>INC-048</x:v>
      </x:c>
      <x:c r="B49" s="28"/>
      <x:c r="C49" s="28"/>
      <x:c r="M49" s="28"/>
    </x:row>
    <x:row r="50">
      <x:c r="A50" t="str">
        <x:v>INC-049</x:v>
      </x:c>
      <x:c r="B50" s="28"/>
      <x:c r="C50" s="28"/>
      <x:c r="M50" s="28"/>
    </x:row>
    <x:row r="51">
      <x:c r="A51" t="str">
        <x:v>INC-050</x:v>
      </x:c>
      <x:c r="B51" s="28"/>
      <x:c r="C51" s="28"/>
      <x:c r="M51" s="28"/>
    </x:row>
    <x:row r="52">
      <x:c r="A52" t="str">
        <x:v>INC-051</x:v>
      </x:c>
      <x:c r="B52" s="28"/>
      <x:c r="C52" s="28"/>
      <x:c r="M52" s="28"/>
    </x:row>
    <x:row r="53">
      <x:c r="A53" t="str">
        <x:v>INC-052</x:v>
      </x:c>
      <x:c r="B53" s="28"/>
      <x:c r="C53" s="28"/>
      <x:c r="M53" s="28"/>
    </x:row>
    <x:row r="54">
      <x:c r="A54" t="str">
        <x:v>INC-053</x:v>
      </x:c>
      <x:c r="B54" s="28"/>
      <x:c r="C54" s="28"/>
      <x:c r="M54" s="28"/>
    </x:row>
    <x:row r="55">
      <x:c r="A55" t="str">
        <x:v>INC-054</x:v>
      </x:c>
      <x:c r="B55" s="28"/>
      <x:c r="C55" s="28"/>
      <x:c r="M55" s="28"/>
    </x:row>
    <x:row r="56">
      <x:c r="A56" t="str">
        <x:v>INC-055</x:v>
      </x:c>
      <x:c r="B56" s="28"/>
      <x:c r="C56" s="28"/>
      <x:c r="M56" s="28"/>
    </x:row>
    <x:row r="57">
      <x:c r="A57" t="str">
        <x:v>INC-056</x:v>
      </x:c>
      <x:c r="B57" s="28"/>
      <x:c r="C57" s="28"/>
      <x:c r="M57" s="28"/>
    </x:row>
    <x:row r="58">
      <x:c r="A58" t="str">
        <x:v>INC-057</x:v>
      </x:c>
      <x:c r="B58" s="28"/>
      <x:c r="C58" s="28"/>
      <x:c r="M58" s="28"/>
    </x:row>
    <x:row r="59">
      <x:c r="A59" t="str">
        <x:v>INC-058</x:v>
      </x:c>
      <x:c r="B59" s="28"/>
      <x:c r="C59" s="28"/>
      <x:c r="M59" s="28"/>
    </x:row>
    <x:row r="60">
      <x:c r="A60" t="str">
        <x:v>INC-059</x:v>
      </x:c>
      <x:c r="B60" s="28"/>
      <x:c r="C60" s="28"/>
      <x:c r="M60" s="28"/>
    </x:row>
    <x:row r="61">
      <x:c r="A61" t="str">
        <x:v>INC-060</x:v>
      </x:c>
      <x:c r="B61" s="28"/>
      <x:c r="C61" s="28"/>
      <x:c r="M61" s="28"/>
    </x:row>
    <x:row r="62">
      <x:c r="A62" t="str">
        <x:v>INC-061</x:v>
      </x:c>
      <x:c r="B62" s="28"/>
      <x:c r="C62" s="28"/>
      <x:c r="M62" s="28"/>
    </x:row>
    <x:row r="63">
      <x:c r="A63" t="str">
        <x:v>INC-062</x:v>
      </x:c>
      <x:c r="B63" s="28"/>
      <x:c r="C63" s="28"/>
      <x:c r="M63" s="28"/>
    </x:row>
    <x:row r="64">
      <x:c r="A64" t="str">
        <x:v>INC-063</x:v>
      </x:c>
      <x:c r="B64" s="28"/>
      <x:c r="C64" s="28"/>
      <x:c r="M64" s="28"/>
    </x:row>
    <x:row r="65">
      <x:c r="A65" t="str">
        <x:v>INC-064</x:v>
      </x:c>
      <x:c r="B65" s="28"/>
      <x:c r="C65" s="28"/>
      <x:c r="M65" s="28"/>
    </x:row>
    <x:row r="66">
      <x:c r="A66" t="str">
        <x:v>INC-065</x:v>
      </x:c>
      <x:c r="B66" s="28"/>
      <x:c r="C66" s="28"/>
      <x:c r="M66" s="28"/>
    </x:row>
    <x:row r="67">
      <x:c r="A67" t="str">
        <x:v>INC-066</x:v>
      </x:c>
      <x:c r="B67" s="28"/>
      <x:c r="C67" s="28"/>
      <x:c r="M67" s="28"/>
    </x:row>
    <x:row r="68">
      <x:c r="A68" t="str">
        <x:v>INC-067</x:v>
      </x:c>
      <x:c r="B68" s="28"/>
      <x:c r="C68" s="28"/>
      <x:c r="M68" s="28"/>
    </x:row>
    <x:row r="69">
      <x:c r="A69" t="str">
        <x:v>INC-068</x:v>
      </x:c>
      <x:c r="B69" s="28"/>
      <x:c r="C69" s="28"/>
      <x:c r="M69" s="28"/>
    </x:row>
    <x:row r="70">
      <x:c r="A70" t="str">
        <x:v>INC-069</x:v>
      </x:c>
      <x:c r="B70" s="28"/>
      <x:c r="C70" s="28"/>
      <x:c r="M70" s="28"/>
    </x:row>
    <x:row r="71">
      <x:c r="A71" t="str">
        <x:v>INC-070</x:v>
      </x:c>
      <x:c r="B71" s="28"/>
      <x:c r="C71" s="28"/>
      <x:c r="M71" s="28"/>
    </x:row>
    <x:row r="72">
      <x:c r="A72" t="str">
        <x:v>INC-071</x:v>
      </x:c>
      <x:c r="B72" s="28"/>
      <x:c r="C72" s="28"/>
      <x:c r="M72" s="28"/>
    </x:row>
    <x:row r="73">
      <x:c r="A73" t="str">
        <x:v>INC-072</x:v>
      </x:c>
      <x:c r="B73" s="28"/>
      <x:c r="C73" s="28"/>
      <x:c r="M73" s="28"/>
    </x:row>
    <x:row r="74">
      <x:c r="A74" t="str">
        <x:v>INC-073</x:v>
      </x:c>
      <x:c r="B74" s="28"/>
      <x:c r="C74" s="28"/>
      <x:c r="M74" s="28"/>
    </x:row>
    <x:row r="75">
      <x:c r="A75" t="str">
        <x:v>INC-074</x:v>
      </x:c>
      <x:c r="B75" s="28"/>
      <x:c r="C75" s="28"/>
      <x:c r="M75" s="28"/>
    </x:row>
    <x:row r="76">
      <x:c r="A76" t="str">
        <x:v>INC-075</x:v>
      </x:c>
      <x:c r="B76" s="28"/>
      <x:c r="C76" s="28"/>
      <x:c r="M76" s="28"/>
    </x:row>
    <x:row r="77">
      <x:c r="A77" t="str">
        <x:v>INC-076</x:v>
      </x:c>
      <x:c r="B77" s="28"/>
      <x:c r="C77" s="28"/>
      <x:c r="M77" s="28"/>
    </x:row>
    <x:row r="78">
      <x:c r="A78" t="str">
        <x:v>INC-077</x:v>
      </x:c>
      <x:c r="B78" s="28"/>
      <x:c r="C78" s="28"/>
      <x:c r="M78" s="28"/>
    </x:row>
    <x:row r="79">
      <x:c r="A79" t="str">
        <x:v>INC-078</x:v>
      </x:c>
      <x:c r="B79" s="28"/>
      <x:c r="C79" s="28"/>
      <x:c r="M79" s="28"/>
    </x:row>
    <x:row r="80">
      <x:c r="A80" t="str">
        <x:v>INC-079</x:v>
      </x:c>
      <x:c r="B80" s="28"/>
      <x:c r="C80" s="28"/>
      <x:c r="M80" s="28"/>
    </x:row>
    <x:row r="81">
      <x:c r="A81" t="str">
        <x:v>INC-080</x:v>
      </x:c>
      <x:c r="B81" s="28"/>
      <x:c r="C81" s="28"/>
      <x:c r="M81" s="28"/>
    </x:row>
    <x:row r="82">
      <x:c r="A82" t="str">
        <x:v>INC-081</x:v>
      </x:c>
      <x:c r="B82" s="28"/>
      <x:c r="C82" s="28"/>
      <x:c r="M82" s="28"/>
    </x:row>
    <x:row r="83">
      <x:c r="A83" t="str">
        <x:v>INC-082</x:v>
      </x:c>
      <x:c r="B83" s="28"/>
      <x:c r="C83" s="28"/>
      <x:c r="M83" s="28"/>
    </x:row>
    <x:row r="84">
      <x:c r="A84" t="str">
        <x:v>INC-083</x:v>
      </x:c>
      <x:c r="B84" s="28"/>
      <x:c r="C84" s="28"/>
      <x:c r="M84" s="28"/>
    </x:row>
    <x:row r="85">
      <x:c r="A85" t="str">
        <x:v>INC-084</x:v>
      </x:c>
      <x:c r="B85" s="28"/>
      <x:c r="C85" s="28"/>
      <x:c r="M85" s="28"/>
    </x:row>
    <x:row r="86">
      <x:c r="A86" t="str">
        <x:v>INC-085</x:v>
      </x:c>
      <x:c r="B86" s="28"/>
      <x:c r="C86" s="28"/>
      <x:c r="M86" s="28"/>
    </x:row>
    <x:row r="87">
      <x:c r="A87" t="str">
        <x:v>INC-086</x:v>
      </x:c>
      <x:c r="B87" s="28"/>
      <x:c r="C87" s="28"/>
      <x:c r="M87" s="28"/>
    </x:row>
    <x:row r="88">
      <x:c r="A88" t="str">
        <x:v>INC-087</x:v>
      </x:c>
      <x:c r="B88" s="28"/>
      <x:c r="C88" s="28"/>
      <x:c r="M88" s="28"/>
    </x:row>
    <x:row r="89">
      <x:c r="A89" t="str">
        <x:v>INC-088</x:v>
      </x:c>
      <x:c r="B89" s="28"/>
      <x:c r="C89" s="28"/>
      <x:c r="M89" s="28"/>
    </x:row>
    <x:row r="90">
      <x:c r="A90" t="str">
        <x:v>INC-089</x:v>
      </x:c>
      <x:c r="B90" s="28"/>
      <x:c r="C90" s="28"/>
      <x:c r="M90" s="28"/>
    </x:row>
    <x:row r="91">
      <x:c r="A91" t="str">
        <x:v>INC-090</x:v>
      </x:c>
      <x:c r="B91" s="28"/>
      <x:c r="C91" s="28"/>
      <x:c r="M91" s="28"/>
    </x:row>
    <x:row r="92">
      <x:c r="A92" t="str">
        <x:v>INC-091</x:v>
      </x:c>
      <x:c r="B92" s="28"/>
      <x:c r="C92" s="28"/>
      <x:c r="M92" s="28"/>
    </x:row>
    <x:row r="93">
      <x:c r="A93" t="str">
        <x:v>INC-092</x:v>
      </x:c>
      <x:c r="B93" s="28"/>
      <x:c r="C93" s="28"/>
      <x:c r="M93" s="28"/>
    </x:row>
    <x:row r="94">
      <x:c r="A94" t="str">
        <x:v>INC-093</x:v>
      </x:c>
      <x:c r="B94" s="28"/>
      <x:c r="C94" s="28"/>
      <x:c r="M94" s="28"/>
    </x:row>
    <x:row r="95">
      <x:c r="A95" t="str">
        <x:v>INC-094</x:v>
      </x:c>
      <x:c r="B95" s="28"/>
      <x:c r="C95" s="28"/>
      <x:c r="M95" s="28"/>
    </x:row>
    <x:row r="96">
      <x:c r="A96" t="str">
        <x:v>INC-095</x:v>
      </x:c>
      <x:c r="B96" s="28"/>
      <x:c r="C96" s="28"/>
      <x:c r="M96" s="28"/>
    </x:row>
    <x:row r="97">
      <x:c r="A97" t="str">
        <x:v>INC-096</x:v>
      </x:c>
      <x:c r="B97" s="28"/>
      <x:c r="C97" s="28"/>
      <x:c r="M97" s="28"/>
    </x:row>
    <x:row r="98">
      <x:c r="A98" t="str">
        <x:v>INC-097</x:v>
      </x:c>
      <x:c r="B98" s="28"/>
      <x:c r="C98" s="28"/>
      <x:c r="M98" s="28"/>
    </x:row>
    <x:row r="99">
      <x:c r="A99" t="str">
        <x:v>INC-098</x:v>
      </x:c>
      <x:c r="B99" s="28"/>
      <x:c r="C99" s="28"/>
      <x:c r="M99" s="28"/>
    </x:row>
    <x:row r="100">
      <x:c r="A100" t="str">
        <x:v>INC-099</x:v>
      </x:c>
      <x:c r="B100" s="28"/>
      <x:c r="C100" s="28"/>
      <x:c r="M100" s="28"/>
    </x:row>
    <x:row r="101">
      <x:c r="A101" t="str">
        <x:v>INC-100</x:v>
      </x:c>
      <x:c r="B101" s="28"/>
      <x:c r="C101" s="28"/>
      <x:c r="M101" s="28"/>
    </x:row>
  </x:sheetData>
  <x:dataValidations count="5">
    <x:dataValidation type="list" sqref="F2:F101">
      <x:formula1>"Yes,No,Unknown"</x:formula1>
    </x:dataValidation>
    <x:dataValidation type="list" sqref="I2:I101">
      <x:formula1>Lists!$B$2:$B$5</x:formula1>
    </x:dataValidation>
    <x:dataValidation type="list" sqref="K2:L101">
      <x:formula1>"Yes,No,Pending"</x:formula1>
    </x:dataValidation>
    <x:dataValidation type="list" sqref="N2:N101">
      <x:formula1>"Yes,No,Pending,N/A"</x:formula1>
    </x:dataValidation>
    <x:dataValidation type="list" sqref="Q2:Q101">
      <x:formula1>"OPEN,CONTAINED,INVESTIGATING,CLOSED"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" t="str">
        <x:v>Control ID</x:v>
      </x:c>
      <x:c r="B1" s="6" t="str">
        <x:v>Requirement</x:v>
      </x:c>
      <x:c r="C1" s="6" t="str">
        <x:v>Policy</x:v>
      </x:c>
      <x:c r="D1" s="6" t="str">
        <x:v>Procedure</x:v>
      </x:c>
      <x:c r="E1" s="6" t="str">
        <x:v>Technical Control</x:v>
      </x:c>
      <x:c r="F1" s="6" t="str">
        <x:v>Evidence</x:v>
      </x:c>
      <x:c r="G1" s="6" t="str">
        <x:v>Test Cadence</x:v>
      </x:c>
      <x:c r="H1" s="6" t="str">
        <x:v>Owner</x:v>
      </x:c>
      <x:c r="I1" s="6" t="str">
        <x:v>Exception</x:v>
      </x:c>
      <x:c r="J1" s="6" t="str">
        <x:v>Corrective Action</x:v>
      </x:c>
      <x:c r="K1" s="6" t="str">
        <x:v>Status</x:v>
      </x:c>
      <x:c r="L1" s="6" t="str">
        <x:v>Last Tested</x:v>
      </x:c>
      <x:c r="M1" s="6" t="str">
        <x:v>Next Review</x:v>
      </x:c>
    </x:row>
    <x:row r="2">
      <x:c r="L2" s="18"/>
      <x:c r="M2" s="18"/>
    </x:row>
    <x:row r="3">
      <x:c r="L3" s="18"/>
      <x:c r="M3" s="18"/>
    </x:row>
    <x:row r="4">
      <x:c r="L4" s="18"/>
      <x:c r="M4" s="18"/>
    </x:row>
    <x:row r="5">
      <x:c r="L5" s="18"/>
      <x:c r="M5" s="18"/>
    </x:row>
    <x:row r="6">
      <x:c r="L6" s="18"/>
      <x:c r="M6" s="18"/>
    </x:row>
    <x:row r="7">
      <x:c r="L7" s="18"/>
      <x:c r="M7" s="18"/>
    </x:row>
    <x:row r="8">
      <x:c r="L8" s="18"/>
      <x:c r="M8" s="18"/>
    </x:row>
    <x:row r="9">
      <x:c r="L9" s="18"/>
      <x:c r="M9" s="18"/>
    </x:row>
    <x:row r="10">
      <x:c r="L10" s="18"/>
      <x:c r="M10" s="18"/>
    </x:row>
    <x:row r="11">
      <x:c r="L11" s="18"/>
      <x:c r="M11" s="18"/>
    </x:row>
    <x:row r="12">
      <x:c r="L12" s="18"/>
      <x:c r="M12" s="18"/>
    </x:row>
    <x:row r="13">
      <x:c r="L13" s="18"/>
      <x:c r="M13" s="18"/>
    </x:row>
    <x:row r="14">
      <x:c r="L14" s="18"/>
      <x:c r="M14" s="18"/>
    </x:row>
    <x:row r="15">
      <x:c r="L15" s="18"/>
      <x:c r="M15" s="18"/>
    </x:row>
    <x:row r="16">
      <x:c r="L16" s="18"/>
      <x:c r="M16" s="18"/>
    </x:row>
    <x:row r="17">
      <x:c r="L17" s="18"/>
      <x:c r="M17" s="18"/>
    </x:row>
    <x:row r="18">
      <x:c r="L18" s="18"/>
      <x:c r="M18" s="18"/>
    </x:row>
    <x:row r="19">
      <x:c r="L19" s="18"/>
      <x:c r="M19" s="18"/>
    </x:row>
    <x:row r="20">
      <x:c r="L20" s="18"/>
      <x:c r="M20" s="18"/>
    </x:row>
    <x:row r="21">
      <x:c r="L21" s="18"/>
      <x:c r="M21" s="18"/>
    </x:row>
    <x:row r="22">
      <x:c r="L22" s="18"/>
      <x:c r="M22" s="18"/>
    </x:row>
    <x:row r="23">
      <x:c r="L23" s="18"/>
      <x:c r="M23" s="18"/>
    </x:row>
    <x:row r="24">
      <x:c r="L24" s="18"/>
      <x:c r="M24" s="18"/>
    </x:row>
    <x:row r="25">
      <x:c r="L25" s="18"/>
      <x:c r="M25" s="18"/>
    </x:row>
    <x:row r="26">
      <x:c r="L26" s="18"/>
      <x:c r="M26" s="18"/>
    </x:row>
    <x:row r="27">
      <x:c r="L27" s="18"/>
      <x:c r="M27" s="18"/>
    </x:row>
    <x:row r="28">
      <x:c r="L28" s="18"/>
      <x:c r="M28" s="18"/>
    </x:row>
    <x:row r="29">
      <x:c r="L29" s="18"/>
      <x:c r="M29" s="18"/>
    </x:row>
    <x:row r="30">
      <x:c r="L30" s="18"/>
      <x:c r="M30" s="18"/>
    </x:row>
    <x:row r="31">
      <x:c r="L31" s="18"/>
      <x:c r="M31" s="18"/>
    </x:row>
    <x:row r="32">
      <x:c r="L32" s="18"/>
      <x:c r="M32" s="18"/>
    </x:row>
    <x:row r="33">
      <x:c r="L33" s="18"/>
      <x:c r="M33" s="18"/>
    </x:row>
    <x:row r="34">
      <x:c r="L34" s="18"/>
      <x:c r="M34" s="18"/>
    </x:row>
    <x:row r="35">
      <x:c r="L35" s="18"/>
      <x:c r="M35" s="18"/>
    </x:row>
    <x:row r="36">
      <x:c r="L36" s="18"/>
      <x:c r="M36" s="18"/>
    </x:row>
    <x:row r="37">
      <x:c r="L37" s="18"/>
      <x:c r="M37" s="18"/>
    </x:row>
    <x:row r="38">
      <x:c r="L38" s="18"/>
      <x:c r="M38" s="18"/>
    </x:row>
    <x:row r="39">
      <x:c r="L39" s="18"/>
      <x:c r="M39" s="18"/>
    </x:row>
    <x:row r="40">
      <x:c r="L40" s="18"/>
      <x:c r="M40" s="18"/>
    </x:row>
    <x:row r="41">
      <x:c r="L41" s="18"/>
      <x:c r="M41" s="18"/>
    </x:row>
    <x:row r="42">
      <x:c r="L42" s="18"/>
      <x:c r="M42" s="18"/>
    </x:row>
    <x:row r="43">
      <x:c r="L43" s="18"/>
      <x:c r="M43" s="18"/>
    </x:row>
    <x:row r="44">
      <x:c r="L44" s="18"/>
      <x:c r="M44" s="18"/>
    </x:row>
    <x:row r="45">
      <x:c r="L45" s="18"/>
      <x:c r="M45" s="18"/>
    </x:row>
    <x:row r="46">
      <x:c r="L46" s="18"/>
      <x:c r="M46" s="18"/>
    </x:row>
    <x:row r="47">
      <x:c r="L47" s="18"/>
      <x:c r="M47" s="18"/>
    </x:row>
    <x:row r="48">
      <x:c r="L48" s="18"/>
      <x:c r="M48" s="18"/>
    </x:row>
    <x:row r="49">
      <x:c r="L49" s="18"/>
      <x:c r="M49" s="18"/>
    </x:row>
    <x:row r="50">
      <x:c r="L50" s="18"/>
      <x:c r="M50" s="18"/>
    </x:row>
    <x:row r="51">
      <x:c r="L51" s="18"/>
      <x:c r="M51" s="18"/>
    </x:row>
    <x:row r="52">
      <x:c r="L52" s="18"/>
      <x:c r="M52" s="18"/>
    </x:row>
    <x:row r="53">
      <x:c r="L53" s="18"/>
      <x:c r="M53" s="18"/>
    </x:row>
    <x:row r="54">
      <x:c r="L54" s="18"/>
      <x:c r="M54" s="18"/>
    </x:row>
    <x:row r="55">
      <x:c r="L55" s="18"/>
      <x:c r="M55" s="18"/>
    </x:row>
    <x:row r="56">
      <x:c r="L56" s="18"/>
      <x:c r="M56" s="18"/>
    </x:row>
    <x:row r="57">
      <x:c r="L57" s="18"/>
      <x:c r="M57" s="18"/>
    </x:row>
    <x:row r="58">
      <x:c r="L58" s="18"/>
      <x:c r="M58" s="18"/>
    </x:row>
    <x:row r="59">
      <x:c r="L59" s="18"/>
      <x:c r="M59" s="18"/>
    </x:row>
    <x:row r="60">
      <x:c r="L60" s="18"/>
      <x:c r="M60" s="18"/>
    </x:row>
    <x:row r="61">
      <x:c r="L61" s="18"/>
      <x:c r="M61" s="18"/>
    </x:row>
    <x:row r="62">
      <x:c r="L62" s="18"/>
      <x:c r="M62" s="18"/>
    </x:row>
    <x:row r="63">
      <x:c r="L63" s="18"/>
      <x:c r="M63" s="18"/>
    </x:row>
    <x:row r="64">
      <x:c r="L64" s="18"/>
      <x:c r="M64" s="18"/>
    </x:row>
    <x:row r="65">
      <x:c r="L65" s="18"/>
      <x:c r="M65" s="18"/>
    </x:row>
    <x:row r="66">
      <x:c r="L66" s="18"/>
      <x:c r="M66" s="18"/>
    </x:row>
    <x:row r="67">
      <x:c r="L67" s="18"/>
      <x:c r="M67" s="18"/>
    </x:row>
    <x:row r="68">
      <x:c r="L68" s="18"/>
      <x:c r="M68" s="18"/>
    </x:row>
    <x:row r="69">
      <x:c r="L69" s="18"/>
      <x:c r="M69" s="18"/>
    </x:row>
    <x:row r="70">
      <x:c r="L70" s="18"/>
      <x:c r="M70" s="18"/>
    </x:row>
    <x:row r="71">
      <x:c r="L71" s="18"/>
      <x:c r="M71" s="18"/>
    </x:row>
    <x:row r="72">
      <x:c r="L72" s="18"/>
      <x:c r="M72" s="18"/>
    </x:row>
    <x:row r="73">
      <x:c r="L73" s="18"/>
      <x:c r="M73" s="18"/>
    </x:row>
    <x:row r="74">
      <x:c r="L74" s="18"/>
      <x:c r="M74" s="18"/>
    </x:row>
    <x:row r="75">
      <x:c r="L75" s="18"/>
      <x:c r="M75" s="18"/>
    </x:row>
    <x:row r="76">
      <x:c r="L76" s="18"/>
      <x:c r="M76" s="18"/>
    </x:row>
    <x:row r="77">
      <x:c r="L77" s="18"/>
      <x:c r="M77" s="18"/>
    </x:row>
    <x:row r="78">
      <x:c r="L78" s="18"/>
      <x:c r="M78" s="18"/>
    </x:row>
    <x:row r="79">
      <x:c r="L79" s="18"/>
      <x:c r="M79" s="18"/>
    </x:row>
    <x:row r="80">
      <x:c r="L80" s="18"/>
      <x:c r="M80" s="18"/>
    </x:row>
    <x:row r="81">
      <x:c r="L81" s="18"/>
      <x:c r="M81" s="18"/>
    </x:row>
    <x:row r="82">
      <x:c r="L82" s="18"/>
      <x:c r="M82" s="18"/>
    </x:row>
    <x:row r="83">
      <x:c r="L83" s="18"/>
      <x:c r="M83" s="18"/>
    </x:row>
    <x:row r="84">
      <x:c r="L84" s="18"/>
      <x:c r="M84" s="18"/>
    </x:row>
    <x:row r="85">
      <x:c r="L85" s="18"/>
      <x:c r="M85" s="18"/>
    </x:row>
    <x:row r="86">
      <x:c r="L86" s="18"/>
      <x:c r="M86" s="18"/>
    </x:row>
    <x:row r="87">
      <x:c r="L87" s="18"/>
      <x:c r="M87" s="18"/>
    </x:row>
    <x:row r="88">
      <x:c r="L88" s="18"/>
      <x:c r="M88" s="18"/>
    </x:row>
    <x:row r="89">
      <x:c r="L89" s="18"/>
      <x:c r="M89" s="18"/>
    </x:row>
    <x:row r="90">
      <x:c r="L90" s="18"/>
      <x:c r="M90" s="18"/>
    </x:row>
    <x:row r="91">
      <x:c r="L91" s="18"/>
      <x:c r="M91" s="18"/>
    </x:row>
    <x:row r="92">
      <x:c r="L92" s="18"/>
      <x:c r="M92" s="18"/>
    </x:row>
    <x:row r="93">
      <x:c r="L93" s="18"/>
      <x:c r="M93" s="18"/>
    </x:row>
    <x:row r="94">
      <x:c r="L94" s="18"/>
      <x:c r="M94" s="18"/>
    </x:row>
    <x:row r="95">
      <x:c r="L95" s="18"/>
      <x:c r="M95" s="18"/>
    </x:row>
    <x:row r="96">
      <x:c r="L96" s="18"/>
      <x:c r="M96" s="18"/>
    </x:row>
    <x:row r="97">
      <x:c r="L97" s="18"/>
      <x:c r="M97" s="18"/>
    </x:row>
    <x:row r="98">
      <x:c r="L98" s="18"/>
      <x:c r="M98" s="18"/>
    </x:row>
    <x:row r="99">
      <x:c r="L99" s="18"/>
      <x:c r="M99" s="18"/>
    </x:row>
    <x:row r="100">
      <x:c r="L100" s="18"/>
      <x:c r="M100" s="18"/>
    </x:row>
    <x:row r="101">
      <x:c r="L101" s="18"/>
      <x:c r="M101" s="18"/>
    </x:row>
    <x:row r="102">
      <x:c r="L102" s="18"/>
      <x:c r="M102" s="18"/>
    </x:row>
    <x:row r="103">
      <x:c r="L103" s="18"/>
      <x:c r="M103" s="18"/>
    </x:row>
    <x:row r="104">
      <x:c r="L104" s="18"/>
      <x:c r="M104" s="18"/>
    </x:row>
    <x:row r="105">
      <x:c r="L105" s="18"/>
      <x:c r="M105" s="18"/>
    </x:row>
    <x:row r="106">
      <x:c r="L106" s="18"/>
      <x:c r="M106" s="18"/>
    </x:row>
    <x:row r="107">
      <x:c r="L107" s="18"/>
      <x:c r="M107" s="18"/>
    </x:row>
    <x:row r="108">
      <x:c r="L108" s="18"/>
      <x:c r="M108" s="18"/>
    </x:row>
    <x:row r="109">
      <x:c r="L109" s="18"/>
      <x:c r="M109" s="18"/>
    </x:row>
    <x:row r="110">
      <x:c r="L110" s="18"/>
      <x:c r="M110" s="18"/>
    </x:row>
    <x:row r="111">
      <x:c r="L111" s="18"/>
      <x:c r="M111" s="18"/>
    </x:row>
    <x:row r="112">
      <x:c r="L112" s="18"/>
      <x:c r="M112" s="18"/>
    </x:row>
    <x:row r="113">
      <x:c r="L113" s="18"/>
      <x:c r="M113" s="18"/>
    </x:row>
    <x:row r="114">
      <x:c r="L114" s="18"/>
      <x:c r="M114" s="18"/>
    </x:row>
    <x:row r="115">
      <x:c r="L115" s="18"/>
      <x:c r="M115" s="18"/>
    </x:row>
    <x:row r="116">
      <x:c r="L116" s="18"/>
      <x:c r="M116" s="18"/>
    </x:row>
    <x:row r="117">
      <x:c r="L117" s="18"/>
      <x:c r="M117" s="18"/>
    </x:row>
    <x:row r="118">
      <x:c r="L118" s="18"/>
      <x:c r="M118" s="18"/>
    </x:row>
    <x:row r="119">
      <x:c r="L119" s="18"/>
      <x:c r="M119" s="18"/>
    </x:row>
    <x:row r="120">
      <x:c r="L120" s="18"/>
      <x:c r="M120" s="18"/>
    </x:row>
    <x:row r="121">
      <x:c r="L121" s="18"/>
      <x:c r="M121" s="18"/>
    </x:row>
    <x:row r="122">
      <x:c r="L122" s="18"/>
      <x:c r="M122" s="18"/>
    </x:row>
    <x:row r="123">
      <x:c r="L123" s="18"/>
      <x:c r="M123" s="18"/>
    </x:row>
    <x:row r="124">
      <x:c r="L124" s="18"/>
      <x:c r="M124" s="18"/>
    </x:row>
    <x:row r="125">
      <x:c r="L125" s="18"/>
      <x:c r="M125" s="18"/>
    </x:row>
    <x:row r="126">
      <x:c r="L126" s="18"/>
      <x:c r="M126" s="18"/>
    </x:row>
    <x:row r="127">
      <x:c r="L127" s="18"/>
      <x:c r="M127" s="18"/>
    </x:row>
    <x:row r="128">
      <x:c r="L128" s="18"/>
      <x:c r="M128" s="18"/>
    </x:row>
    <x:row r="129">
      <x:c r="L129" s="18"/>
      <x:c r="M129" s="18"/>
    </x:row>
    <x:row r="130">
      <x:c r="L130" s="18"/>
      <x:c r="M130" s="18"/>
    </x:row>
    <x:row r="131">
      <x:c r="L131" s="18"/>
      <x:c r="M131" s="18"/>
    </x:row>
    <x:row r="132">
      <x:c r="L132" s="18"/>
      <x:c r="M132" s="18"/>
    </x:row>
    <x:row r="133">
      <x:c r="L133" s="18"/>
      <x:c r="M133" s="18"/>
    </x:row>
    <x:row r="134">
      <x:c r="L134" s="18"/>
      <x:c r="M134" s="18"/>
    </x:row>
    <x:row r="135">
      <x:c r="L135" s="18"/>
      <x:c r="M135" s="18"/>
    </x:row>
    <x:row r="136">
      <x:c r="L136" s="18"/>
      <x:c r="M136" s="18"/>
    </x:row>
    <x:row r="137">
      <x:c r="L137" s="18"/>
      <x:c r="M137" s="18"/>
    </x:row>
    <x:row r="138">
      <x:c r="L138" s="18"/>
      <x:c r="M138" s="18"/>
    </x:row>
    <x:row r="139">
      <x:c r="L139" s="18"/>
      <x:c r="M139" s="18"/>
    </x:row>
    <x:row r="140">
      <x:c r="L140" s="18"/>
      <x:c r="M140" s="18"/>
    </x:row>
    <x:row r="141">
      <x:c r="L141" s="18"/>
      <x:c r="M141" s="18"/>
    </x:row>
    <x:row r="142">
      <x:c r="L142" s="18"/>
      <x:c r="M142" s="18"/>
    </x:row>
    <x:row r="143">
      <x:c r="L143" s="18"/>
      <x:c r="M143" s="18"/>
    </x:row>
    <x:row r="144">
      <x:c r="L144" s="18"/>
      <x:c r="M144" s="18"/>
    </x:row>
    <x:row r="145">
      <x:c r="L145" s="18"/>
      <x:c r="M145" s="18"/>
    </x:row>
    <x:row r="146">
      <x:c r="L146" s="18"/>
      <x:c r="M146" s="18"/>
    </x:row>
    <x:row r="147">
      <x:c r="L147" s="18"/>
      <x:c r="M147" s="18"/>
    </x:row>
    <x:row r="148">
      <x:c r="L148" s="18"/>
      <x:c r="M148" s="18"/>
    </x:row>
    <x:row r="149">
      <x:c r="L149" s="18"/>
      <x:c r="M149" s="18"/>
    </x:row>
    <x:row r="150">
      <x:c r="L150" s="18"/>
      <x:c r="M150" s="18"/>
    </x:row>
    <x:row r="151">
      <x:c r="L151" s="18"/>
      <x:c r="M151" s="18"/>
    </x:row>
    <x:row r="152">
      <x:c r="L152" s="18"/>
      <x:c r="M152" s="18"/>
    </x:row>
    <x:row r="153">
      <x:c r="L153" s="18"/>
      <x:c r="M153" s="18"/>
    </x:row>
    <x:row r="154">
      <x:c r="L154" s="18"/>
      <x:c r="M154" s="18"/>
    </x:row>
    <x:row r="155">
      <x:c r="L155" s="18"/>
      <x:c r="M155" s="18"/>
    </x:row>
    <x:row r="156">
      <x:c r="L156" s="18"/>
      <x:c r="M156" s="18"/>
    </x:row>
    <x:row r="157">
      <x:c r="L157" s="18"/>
      <x:c r="M157" s="18"/>
    </x:row>
    <x:row r="158">
      <x:c r="L158" s="18"/>
      <x:c r="M158" s="18"/>
    </x:row>
    <x:row r="159">
      <x:c r="L159" s="18"/>
      <x:c r="M159" s="18"/>
    </x:row>
    <x:row r="160">
      <x:c r="L160" s="18"/>
      <x:c r="M160" s="18"/>
    </x:row>
    <x:row r="161">
      <x:c r="L161" s="18"/>
      <x:c r="M161" s="18"/>
    </x:row>
    <x:row r="162">
      <x:c r="L162" s="18"/>
      <x:c r="M162" s="18"/>
    </x:row>
    <x:row r="163">
      <x:c r="L163" s="18"/>
      <x:c r="M163" s="18"/>
    </x:row>
    <x:row r="164">
      <x:c r="L164" s="18"/>
      <x:c r="M164" s="18"/>
    </x:row>
    <x:row r="165">
      <x:c r="L165" s="18"/>
      <x:c r="M165" s="18"/>
    </x:row>
    <x:row r="166">
      <x:c r="L166" s="18"/>
      <x:c r="M166" s="18"/>
    </x:row>
    <x:row r="167">
      <x:c r="L167" s="18"/>
      <x:c r="M167" s="18"/>
    </x:row>
    <x:row r="168">
      <x:c r="L168" s="18"/>
      <x:c r="M168" s="18"/>
    </x:row>
    <x:row r="169">
      <x:c r="L169" s="18"/>
      <x:c r="M169" s="18"/>
    </x:row>
    <x:row r="170">
      <x:c r="L170" s="18"/>
      <x:c r="M170" s="18"/>
    </x:row>
    <x:row r="171">
      <x:c r="L171" s="18"/>
      <x:c r="M171" s="18"/>
    </x:row>
    <x:row r="172">
      <x:c r="L172" s="18"/>
      <x:c r="M172" s="18"/>
    </x:row>
    <x:row r="173">
      <x:c r="L173" s="18"/>
      <x:c r="M173" s="18"/>
    </x:row>
    <x:row r="174">
      <x:c r="L174" s="18"/>
      <x:c r="M174" s="18"/>
    </x:row>
    <x:row r="175">
      <x:c r="L175" s="18"/>
      <x:c r="M175" s="18"/>
    </x:row>
    <x:row r="176">
      <x:c r="L176" s="18"/>
      <x:c r="M176" s="18"/>
    </x:row>
    <x:row r="177">
      <x:c r="L177" s="18"/>
      <x:c r="M177" s="18"/>
    </x:row>
    <x:row r="178">
      <x:c r="L178" s="18"/>
      <x:c r="M178" s="18"/>
    </x:row>
    <x:row r="179">
      <x:c r="L179" s="18"/>
      <x:c r="M179" s="18"/>
    </x:row>
    <x:row r="180">
      <x:c r="L180" s="18"/>
      <x:c r="M180" s="18"/>
    </x:row>
    <x:row r="181">
      <x:c r="L181" s="18"/>
      <x:c r="M181" s="18"/>
    </x:row>
    <x:row r="182">
      <x:c r="L182" s="18"/>
      <x:c r="M182" s="18"/>
    </x:row>
    <x:row r="183">
      <x:c r="L183" s="18"/>
      <x:c r="M183" s="18"/>
    </x:row>
    <x:row r="184">
      <x:c r="L184" s="18"/>
      <x:c r="M184" s="18"/>
    </x:row>
    <x:row r="185">
      <x:c r="L185" s="18"/>
      <x:c r="M185" s="18"/>
    </x:row>
    <x:row r="186">
      <x:c r="L186" s="18"/>
      <x:c r="M186" s="18"/>
    </x:row>
    <x:row r="187">
      <x:c r="L187" s="18"/>
      <x:c r="M187" s="18"/>
    </x:row>
    <x:row r="188">
      <x:c r="L188" s="18"/>
      <x:c r="M188" s="18"/>
    </x:row>
    <x:row r="189">
      <x:c r="L189" s="18"/>
      <x:c r="M189" s="18"/>
    </x:row>
    <x:row r="190">
      <x:c r="L190" s="18"/>
      <x:c r="M190" s="18"/>
    </x:row>
    <x:row r="191">
      <x:c r="L191" s="18"/>
      <x:c r="M191" s="18"/>
    </x:row>
    <x:row r="192">
      <x:c r="L192" s="18"/>
      <x:c r="M192" s="18"/>
    </x:row>
    <x:row r="193">
      <x:c r="L193" s="18"/>
      <x:c r="M193" s="18"/>
    </x:row>
    <x:row r="194">
      <x:c r="L194" s="18"/>
      <x:c r="M194" s="18"/>
    </x:row>
    <x:row r="195">
      <x:c r="L195" s="18"/>
      <x:c r="M195" s="18"/>
    </x:row>
    <x:row r="196">
      <x:c r="L196" s="18"/>
      <x:c r="M196" s="18"/>
    </x:row>
    <x:row r="197">
      <x:c r="L197" s="18"/>
      <x:c r="M197" s="18"/>
    </x:row>
    <x:row r="198">
      <x:c r="L198" s="18"/>
      <x:c r="M198" s="18"/>
    </x:row>
    <x:row r="199">
      <x:c r="L199" s="18"/>
      <x:c r="M199" s="18"/>
    </x:row>
    <x:row r="200">
      <x:c r="L200" s="18"/>
      <x:c r="M200" s="18"/>
    </x:row>
    <x:row r="201">
      <x:c r="L201" s="18"/>
      <x:c r="M201" s="18"/>
    </x:row>
  </x:sheetData>
  <x:dataValidations count="1">
    <x:dataValidation type="list" sqref="K2:K201">
      <x:formula1>Lists!$C$2:$C$6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0" hidden="0" customWidth="1"/>
  </x:cols>
  <x:sheetData>
    <x:row r="1">
      <x:c r="A1" s="6" t="str">
        <x:v>Role</x:v>
      </x:c>
      <x:c r="B1" s="6" t="str">
        <x:v>Trigger</x:v>
      </x:c>
      <x:c r="C1" s="6" t="str">
        <x:v>Priority</x:v>
      </x:c>
      <x:c r="D1" s="6" t="str">
        <x:v>Status</x:v>
      </x:c>
      <x:c r="E1" s="6" t="str">
        <x:v>Owner</x:v>
      </x:c>
      <x:c r="F1" s="6" t="str">
        <x:v>Target Date</x:v>
      </x:c>
      <x:c r="G1" s="6" t="str">
        <x:v>Candidates</x:v>
      </x:c>
      <x:c r="H1" s="6" t="str">
        <x:v>Stage</x:v>
      </x:c>
      <x:c r="I1" s="6" t="str">
        <x:v>Score /100</x:v>
      </x:c>
      <x:c r="J1" s="6" t="str">
        <x:v>Decision</x:v>
      </x:c>
      <x:c r="K1" s="6" t="str">
        <x:v>Notes</x:v>
      </x:c>
    </x:row>
    <x:row r="2">
      <x:c r="A2" t="str">
        <x:v>Senior/Full-stack Engineer</x:v>
      </x:c>
      <x:c r="B2" t="str">
        <x:v>Production pilot needs independent engineering judgement</x:v>
      </x:c>
      <x:c r="C2" t="str">
        <x:v>1</x:v>
      </x:c>
      <x:c r="D2" t="str">
        <x:v>NOT STARTED</x:v>
      </x:c>
      <x:c r="E2" t="str"/>
      <x:c r="F2" s="18" t="str"/>
      <x:c r="G2" t="n">
        <x:v>0</x:v>
      </x:c>
      <x:c r="H2" t="str"/>
      <x:c r="I2" t="n">
        <x:v>0</x:v>
      </x:c>
      <x:c r="J2" t="str">
        <x:v>UNKNOWN</x:v>
      </x:c>
      <x:c r="K2" t="str"/>
    </x:row>
    <x:row r="3">
      <x:c r="A3" t="str">
        <x:v>Legal Ops / Implementation</x:v>
      </x:c>
      <x:c r="B3" t="str">
        <x:v>3+ customer implementations / domain bottleneck</x:v>
      </x:c>
      <x:c r="C3" t="str">
        <x:v>2</x:v>
      </x:c>
      <x:c r="D3" t="str">
        <x:v>NOT STARTED</x:v>
      </x:c>
      <x:c r="E3" t="str"/>
      <x:c r="F3" s="18" t="str"/>
      <x:c r="G3" t="n">
        <x:v>0</x:v>
      </x:c>
      <x:c r="H3" t="str"/>
      <x:c r="I3" t="n">
        <x:v>0</x:v>
      </x:c>
      <x:c r="J3" t="str">
        <x:v>UNKNOWN</x:v>
      </x:c>
      <x:c r="K3" t="str"/>
    </x:row>
    <x:row r="4">
      <x:c r="A4" t="str">
        <x:v>Customer Success</x:v>
      </x:c>
      <x:c r="B4" t="str">
        <x:v>Repeatable onboarding + 5–10 active customers</x:v>
      </x:c>
      <x:c r="C4" t="str">
        <x:v>3</x:v>
      </x:c>
      <x:c r="D4" t="str">
        <x:v>NOT STARTED</x:v>
      </x:c>
      <x:c r="E4" t="str"/>
      <x:c r="F4" s="18" t="str"/>
      <x:c r="G4" t="n">
        <x:v>0</x:v>
      </x:c>
      <x:c r="H4" t="str"/>
      <x:c r="I4" t="n">
        <x:v>0</x:v>
      </x:c>
      <x:c r="J4" t="str">
        <x:v>UNKNOWN</x:v>
      </x:c>
      <x:c r="K4" t="str"/>
    </x:row>
    <x:row r="5">
      <x:c r="A5" t="str">
        <x:v>Security/Compliance</x:v>
      </x:c>
      <x:c r="B5" t="str">
        <x:v>Enterprise burden exceeds external specialists</x:v>
      </x:c>
      <x:c r="C5" t="str">
        <x:v>4</x:v>
      </x:c>
      <x:c r="D5" t="str">
        <x:v>NOT STARTED</x:v>
      </x:c>
      <x:c r="E5" t="str"/>
      <x:c r="F5" s="18" t="str"/>
      <x:c r="G5" t="n">
        <x:v>0</x:v>
      </x:c>
      <x:c r="H5" t="str"/>
      <x:c r="I5" t="n">
        <x:v>0</x:v>
      </x:c>
      <x:c r="J5" t="str">
        <x:v>UNKNOWN</x:v>
      </x:c>
      <x:c r="K5" t="str"/>
    </x:row>
    <x:row r="6">
      <x:c r="A6" t="str">
        <x:v>Sales</x:v>
      </x:c>
      <x:c r="B6" t="str">
        <x:v>Founder-led motion is repeatable</x:v>
      </x:c>
      <x:c r="C6" t="str">
        <x:v>5</x:v>
      </x:c>
      <x:c r="D6" t="str">
        <x:v>NOT STARTED</x:v>
      </x:c>
      <x:c r="E6" t="str"/>
      <x:c r="F6" s="18" t="str"/>
      <x:c r="G6" t="n">
        <x:v>0</x:v>
      </x:c>
      <x:c r="H6" t="str"/>
      <x:c r="I6" t="n">
        <x:v>0</x:v>
      </x:c>
      <x:c r="J6" t="str">
        <x:v>UNKNOWN</x:v>
      </x:c>
      <x:c r="K6" t="str"/>
    </x:row>
    <x:row r="7">
      <x:c r="F7" s="18"/>
    </x:row>
    <x:row r="8">
      <x:c r="F8" s="18"/>
    </x:row>
    <x:row r="9">
      <x:c r="F9" s="18"/>
    </x:row>
    <x:row r="10">
      <x:c r="F10" s="18"/>
    </x:row>
    <x:row r="11">
      <x:c r="F11" s="18"/>
    </x:row>
    <x:row r="12">
      <x:c r="F12" s="18"/>
    </x:row>
    <x:row r="13">
      <x:c r="F13" s="18"/>
    </x:row>
    <x:row r="14">
      <x:c r="F14" s="18"/>
    </x:row>
    <x:row r="15">
      <x:c r="F15" s="18"/>
    </x:row>
    <x:row r="16">
      <x:c r="F16" s="18"/>
    </x:row>
    <x:row r="17">
      <x:c r="F17" s="18"/>
    </x:row>
    <x:row r="18">
      <x:c r="F18" s="18"/>
    </x:row>
    <x:row r="19">
      <x:c r="F19" s="18"/>
    </x:row>
    <x:row r="20">
      <x:c r="F20" s="18"/>
    </x:row>
    <x:row r="21">
      <x:c r="F21" s="18"/>
    </x:row>
    <x:row r="22">
      <x:c r="F22" s="18"/>
    </x:row>
    <x:row r="23">
      <x:c r="F23" s="18"/>
    </x:row>
    <x:row r="24">
      <x:c r="F24" s="18"/>
    </x:row>
    <x:row r="25">
      <x:c r="F25" s="18"/>
    </x:row>
    <x:row r="26">
      <x:c r="F26" s="18"/>
    </x:row>
    <x:row r="27">
      <x:c r="F27" s="18"/>
    </x:row>
    <x:row r="28">
      <x:c r="F28" s="18"/>
    </x:row>
    <x:row r="29">
      <x:c r="F29" s="18"/>
    </x:row>
    <x:row r="30">
      <x:c r="F30" s="18"/>
    </x:row>
    <x:row r="31">
      <x:c r="F31" s="18"/>
    </x:row>
    <x:row r="32">
      <x:c r="F32" s="18"/>
    </x:row>
    <x:row r="33">
      <x:c r="F33" s="18"/>
    </x:row>
    <x:row r="34">
      <x:c r="F34" s="18"/>
    </x:row>
    <x:row r="35">
      <x:c r="F35" s="18"/>
    </x:row>
    <x:row r="36">
      <x:c r="F36" s="18"/>
    </x:row>
    <x:row r="37">
      <x:c r="F37" s="18"/>
    </x:row>
    <x:row r="38">
      <x:c r="F38" s="18"/>
    </x:row>
    <x:row r="39">
      <x:c r="F39" s="18"/>
    </x:row>
    <x:row r="40">
      <x:c r="F40" s="18"/>
    </x:row>
    <x:row r="41">
      <x:c r="F41" s="18"/>
    </x:row>
    <x:row r="42">
      <x:c r="F42" s="18"/>
    </x:row>
    <x:row r="43">
      <x:c r="F43" s="18"/>
    </x:row>
    <x:row r="44">
      <x:c r="F44" s="18"/>
    </x:row>
    <x:row r="45">
      <x:c r="F45" s="18"/>
    </x:row>
    <x:row r="46">
      <x:c r="F46" s="18"/>
    </x:row>
    <x:row r="47">
      <x:c r="F47" s="18"/>
    </x:row>
    <x:row r="48">
      <x:c r="F48" s="18"/>
    </x:row>
    <x:row r="49">
      <x:c r="F49" s="18"/>
    </x:row>
    <x:row r="50">
      <x:c r="F50" s="18"/>
    </x:row>
    <x:row r="51">
      <x:c r="F51" s="18"/>
    </x:row>
    <x:row r="52">
      <x:c r="F52" s="18"/>
    </x:row>
    <x:row r="53">
      <x:c r="F53" s="18"/>
    </x:row>
    <x:row r="54">
      <x:c r="F54" s="18"/>
    </x:row>
    <x:row r="55">
      <x:c r="F55" s="18"/>
    </x:row>
    <x:row r="56">
      <x:c r="F56" s="18"/>
    </x:row>
    <x:row r="57">
      <x:c r="F57" s="18"/>
    </x:row>
    <x:row r="58">
      <x:c r="F58" s="18"/>
    </x:row>
    <x:row r="59">
      <x:c r="F59" s="18"/>
    </x:row>
    <x:row r="60">
      <x:c r="F60" s="18"/>
    </x:row>
    <x:row r="61">
      <x:c r="F61" s="18"/>
    </x:row>
    <x:row r="62">
      <x:c r="F62" s="18"/>
    </x:row>
    <x:row r="63">
      <x:c r="F63" s="18"/>
    </x:row>
    <x:row r="64">
      <x:c r="F64" s="18"/>
    </x:row>
    <x:row r="65">
      <x:c r="F65" s="18"/>
    </x:row>
    <x:row r="66">
      <x:c r="F66" s="18"/>
    </x:row>
    <x:row r="67">
      <x:c r="F67" s="18"/>
    </x:row>
    <x:row r="68">
      <x:c r="F68" s="18"/>
    </x:row>
    <x:row r="69">
      <x:c r="F69" s="18"/>
    </x:row>
    <x:row r="70">
      <x:c r="F70" s="18"/>
    </x:row>
    <x:row r="71">
      <x:c r="F71" s="18"/>
    </x:row>
    <x:row r="72">
      <x:c r="F72" s="18"/>
    </x:row>
    <x:row r="73">
      <x:c r="F73" s="18"/>
    </x:row>
    <x:row r="74">
      <x:c r="F74" s="18"/>
    </x:row>
    <x:row r="75">
      <x:c r="F75" s="18"/>
    </x:row>
    <x:row r="76">
      <x:c r="F76" s="18"/>
    </x:row>
    <x:row r="77">
      <x:c r="F77" s="18"/>
    </x:row>
    <x:row r="78">
      <x:c r="F78" s="18"/>
    </x:row>
    <x:row r="79">
      <x:c r="F79" s="18"/>
    </x:row>
    <x:row r="80">
      <x:c r="F80" s="18"/>
    </x:row>
    <x:row r="81">
      <x:c r="F81" s="18"/>
    </x:row>
    <x:row r="82">
      <x:c r="F82" s="18"/>
    </x:row>
    <x:row r="83">
      <x:c r="F83" s="18"/>
    </x:row>
    <x:row r="84">
      <x:c r="F84" s="18"/>
    </x:row>
    <x:row r="85">
      <x:c r="F85" s="18"/>
    </x:row>
    <x:row r="86">
      <x:c r="F86" s="18"/>
    </x:row>
    <x:row r="87">
      <x:c r="F87" s="18"/>
    </x:row>
    <x:row r="88">
      <x:c r="F88" s="18"/>
    </x:row>
    <x:row r="89">
      <x:c r="F89" s="18"/>
    </x:row>
    <x:row r="90">
      <x:c r="F90" s="18"/>
    </x:row>
    <x:row r="91">
      <x:c r="F91" s="18"/>
    </x:row>
    <x:row r="92">
      <x:c r="F92" s="18"/>
    </x:row>
    <x:row r="93">
      <x:c r="F93" s="18"/>
    </x:row>
    <x:row r="94">
      <x:c r="F94" s="18"/>
    </x:row>
    <x:row r="95">
      <x:c r="F95" s="18"/>
    </x:row>
    <x:row r="96">
      <x:c r="F96" s="18"/>
    </x:row>
    <x:row r="97">
      <x:c r="F97" s="18"/>
    </x:row>
    <x:row r="98">
      <x:c r="F98" s="18"/>
    </x:row>
    <x:row r="99">
      <x:c r="F99" s="18"/>
    </x:row>
    <x:row r="100">
      <x:c r="F100" s="18"/>
    </x:row>
    <x:row r="101">
      <x:c r="F101" s="18"/>
    </x:row>
  </x:sheetData>
  <x:dataValidations count="2">
    <x:dataValidation type="list" sqref="D2:D101">
      <x:formula1>Lists!$C$2:$C$6</x:formula1>
    </x:dataValidation>
    <x:dataValidation type="list" sqref="J2:J101">
      <x:formula1>Lists!$E$2:$E$6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32" hidden="0" customWidth="1"/>
  </x:cols>
  <x:sheetData>
    <x:row r="1">
      <x:c r="A1" s="6" t="str">
        <x:v>Item</x:v>
      </x:c>
      <x:c r="B1" s="6" t="str">
        <x:v>Cadence</x:v>
      </x:c>
      <x:c r="C1" s="6" t="str">
        <x:v>Owner</x:v>
      </x:c>
      <x:c r="D1" s="6" t="str">
        <x:v>Last Done</x:v>
      </x:c>
      <x:c r="E1" s="6" t="str">
        <x:v>Next Due</x:v>
      </x:c>
      <x:c r="F1" s="6" t="str">
        <x:v>Status</x:v>
      </x:c>
      <x:c r="G1" s="6" t="str">
        <x:v>Evidence/Link</x:v>
      </x:c>
      <x:c r="H1" s="6" t="str">
        <x:v>Notes</x:v>
      </x:c>
    </x:row>
    <x:row r="2">
      <x:c r="A2" t="str">
        <x:v>Companies House confirmation statement</x:v>
      </x:c>
      <x:c r="B2" t="str">
        <x:v>Annual</x:v>
      </x:c>
      <x:c r="C2" t="str"/>
      <x:c r="D2" s="18" t="str"/>
      <x:c r="E2" s="18" t="str"/>
      <x:c r="F2" t="str">
        <x:v>NOT STARTED</x:v>
      </x:c>
      <x:c r="G2" t="str"/>
      <x:c r="H2" t="str"/>
    </x:row>
    <x:row r="3">
      <x:c r="A3" t="str">
        <x:v>Statutory accounts / tax</x:v>
      </x:c>
      <x:c r="B3" t="str">
        <x:v>Annual</x:v>
      </x:c>
      <x:c r="C3" t="str"/>
      <x:c r="D3" s="18" t="str"/>
      <x:c r="E3" s="18" t="str"/>
      <x:c r="F3" t="str">
        <x:v>NOT STARTED</x:v>
      </x:c>
      <x:c r="G3" t="str"/>
      <x:c r="H3" t="str"/>
    </x:row>
    <x:row r="4">
      <x:c r="A4" t="str">
        <x:v>ICO data protection fee renewal if applicable</x:v>
      </x:c>
      <x:c r="B4" t="str">
        <x:v>Annual</x:v>
      </x:c>
      <x:c r="C4" t="str"/>
      <x:c r="D4" s="18" t="str"/>
      <x:c r="E4" s="18" t="str"/>
      <x:c r="F4" t="str">
        <x:v>NOT STARTED</x:v>
      </x:c>
      <x:c r="G4" t="str"/>
      <x:c r="H4" t="str"/>
    </x:row>
    <x:row r="5">
      <x:c r="A5" t="str">
        <x:v>Insurance renewals</x:v>
      </x:c>
      <x:c r="B5" t="str">
        <x:v>Annual</x:v>
      </x:c>
      <x:c r="C5" t="str"/>
      <x:c r="D5" s="18" t="str"/>
      <x:c r="E5" s="18" t="str"/>
      <x:c r="F5" t="str">
        <x:v>NOT STARTED</x:v>
      </x:c>
      <x:c r="G5" t="str"/>
      <x:c r="H5" t="str"/>
    </x:row>
    <x:row r="6">
      <x:c r="A6" t="str">
        <x:v>Cyber Essentials renewal once held</x:v>
      </x:c>
      <x:c r="B6" t="str">
        <x:v>Annual</x:v>
      </x:c>
      <x:c r="C6" t="str"/>
      <x:c r="D6" s="18" t="str"/>
      <x:c r="E6" s="18" t="str"/>
      <x:c r="F6" t="str">
        <x:v>N/A</x:v>
      </x:c>
      <x:c r="G6" t="str"/>
      <x:c r="H6" t="str"/>
    </x:row>
    <x:row r="7">
      <x:c r="A7" t="str">
        <x:v>Independent penetration test</x:v>
      </x:c>
      <x:c r="B7" t="str">
        <x:v>Annual / major change</x:v>
      </x:c>
      <x:c r="C7" t="str"/>
      <x:c r="D7" s="18" t="str"/>
      <x:c r="E7" s="18" t="str"/>
      <x:c r="F7" t="str">
        <x:v>NOT STARTED</x:v>
      </x:c>
      <x:c r="G7" t="str"/>
      <x:c r="H7" t="str"/>
    </x:row>
    <x:row r="8">
      <x:c r="A8" t="str">
        <x:v>Access review</x:v>
      </x:c>
      <x:c r="B8" t="str">
        <x:v>Quarterly</x:v>
      </x:c>
      <x:c r="C8" t="str"/>
      <x:c r="D8" s="18" t="str"/>
      <x:c r="E8" s="18" t="str"/>
      <x:c r="F8" t="str">
        <x:v>NOT STARTED</x:v>
      </x:c>
      <x:c r="G8" t="str"/>
      <x:c r="H8" t="str"/>
    </x:row>
    <x:row r="9">
      <x:c r="A9" t="str">
        <x:v>Backup restore drill</x:v>
      </x:c>
      <x:c r="B9" t="str">
        <x:v>Quarterly</x:v>
      </x:c>
      <x:c r="C9" t="str"/>
      <x:c r="D9" s="18" t="str"/>
      <x:c r="E9" s="18" t="str"/>
      <x:c r="F9" t="str">
        <x:v>NOT STARTED</x:v>
      </x:c>
      <x:c r="G9" t="str"/>
      <x:c r="H9" t="str"/>
    </x:row>
    <x:row r="10">
      <x:c r="A10" t="str">
        <x:v>Incident tabletop</x:v>
      </x:c>
      <x:c r="B10" t="str">
        <x:v>Quarterly</x:v>
      </x:c>
      <x:c r="C10" t="str"/>
      <x:c r="D10" s="18" t="str"/>
      <x:c r="E10" s="18" t="str"/>
      <x:c r="F10" t="str">
        <x:v>NOT STARTED</x:v>
      </x:c>
      <x:c r="G10" t="str"/>
      <x:c r="H10" t="str"/>
    </x:row>
    <x:row r="11">
      <x:c r="A11" t="str">
        <x:v>Critical vendor review</x:v>
      </x:c>
      <x:c r="B11" t="str">
        <x:v>Quarterly</x:v>
      </x:c>
      <x:c r="C11" t="str"/>
      <x:c r="D11" s="18" t="str"/>
      <x:c r="E11" s="18" t="str"/>
      <x:c r="F11" t="str">
        <x:v>NOT STARTED</x:v>
      </x:c>
      <x:c r="G11" t="str"/>
      <x:c r="H11" t="str"/>
    </x:row>
    <x:row r="12">
      <x:c r="A12" t="str">
        <x:v>ROPA/DPIA review</x:v>
      </x:c>
      <x:c r="B12" t="str">
        <x:v>Annual / change</x:v>
      </x:c>
      <x:c r="C12" t="str"/>
      <x:c r="D12" s="18" t="str"/>
      <x:c r="E12" s="18" t="str"/>
      <x:c r="F12" t="str">
        <x:v>NOT STARTED</x:v>
      </x:c>
      <x:c r="G12" t="str"/>
      <x:c r="H12" t="str"/>
    </x:row>
    <x:row r="13">
      <x:c r="A13" t="str">
        <x:v>Security/privacy training</x:v>
      </x:c>
      <x:c r="B13" t="str">
        <x:v>Annual</x:v>
      </x:c>
      <x:c r="C13" t="str"/>
      <x:c r="D13" s="18" t="str"/>
      <x:c r="E13" s="18" t="str"/>
      <x:c r="F13" t="str">
        <x:v>NOT STARTED</x:v>
      </x:c>
      <x:c r="G13" t="str"/>
      <x:c r="H13" t="str"/>
    </x:row>
    <x:row r="14">
      <x:c r="D14" s="18"/>
      <x:c r="E14" s="18"/>
    </x:row>
    <x:row r="15">
      <x:c r="D15" s="18"/>
      <x:c r="E15" s="18"/>
    </x:row>
    <x:row r="16">
      <x:c r="D16" s="18"/>
      <x:c r="E16" s="18"/>
    </x:row>
    <x:row r="17">
      <x:c r="D17" s="18"/>
      <x:c r="E17" s="18"/>
    </x:row>
    <x:row r="18">
      <x:c r="D18" s="18"/>
      <x:c r="E18" s="18"/>
    </x:row>
    <x:row r="19">
      <x:c r="D19" s="18"/>
      <x:c r="E19" s="18"/>
    </x:row>
    <x:row r="20">
      <x:c r="D20" s="18"/>
      <x:c r="E20" s="18"/>
    </x:row>
    <x:row r="21">
      <x:c r="D21" s="18"/>
      <x:c r="E21" s="18"/>
    </x:row>
    <x:row r="22">
      <x:c r="D22" s="18"/>
      <x:c r="E22" s="18"/>
    </x:row>
    <x:row r="23">
      <x:c r="D23" s="18"/>
      <x:c r="E23" s="18"/>
    </x:row>
    <x:row r="24">
      <x:c r="D24" s="18"/>
      <x:c r="E24" s="18"/>
    </x:row>
    <x:row r="25">
      <x:c r="D25" s="18"/>
      <x:c r="E25" s="18"/>
    </x:row>
    <x:row r="26">
      <x:c r="D26" s="18"/>
      <x:c r="E26" s="18"/>
    </x:row>
    <x:row r="27">
      <x:c r="D27" s="18"/>
      <x:c r="E27" s="18"/>
    </x:row>
    <x:row r="28">
      <x:c r="D28" s="18"/>
      <x:c r="E28" s="18"/>
    </x:row>
    <x:row r="29">
      <x:c r="D29" s="18"/>
      <x:c r="E29" s="18"/>
    </x:row>
    <x:row r="30">
      <x:c r="D30" s="18"/>
      <x:c r="E30" s="18"/>
    </x:row>
    <x:row r="31">
      <x:c r="D31" s="18"/>
      <x:c r="E31" s="18"/>
    </x:row>
    <x:row r="32">
      <x:c r="D32" s="18"/>
      <x:c r="E32" s="18"/>
    </x:row>
    <x:row r="33">
      <x:c r="D33" s="18"/>
      <x:c r="E33" s="18"/>
    </x:row>
    <x:row r="34">
      <x:c r="D34" s="18"/>
      <x:c r="E34" s="18"/>
    </x:row>
    <x:row r="35">
      <x:c r="D35" s="18"/>
      <x:c r="E35" s="18"/>
    </x:row>
    <x:row r="36">
      <x:c r="D36" s="18"/>
      <x:c r="E36" s="18"/>
    </x:row>
    <x:row r="37">
      <x:c r="D37" s="18"/>
      <x:c r="E37" s="18"/>
    </x:row>
    <x:row r="38">
      <x:c r="D38" s="18"/>
      <x:c r="E38" s="18"/>
    </x:row>
    <x:row r="39">
      <x:c r="D39" s="18"/>
      <x:c r="E39" s="18"/>
    </x:row>
    <x:row r="40">
      <x:c r="D40" s="18"/>
      <x:c r="E40" s="18"/>
    </x:row>
    <x:row r="41">
      <x:c r="D41" s="18"/>
      <x:c r="E41" s="18"/>
    </x:row>
    <x:row r="42">
      <x:c r="D42" s="18"/>
      <x:c r="E42" s="18"/>
    </x:row>
    <x:row r="43">
      <x:c r="D43" s="18"/>
      <x:c r="E43" s="18"/>
    </x:row>
    <x:row r="44">
      <x:c r="D44" s="18"/>
      <x:c r="E44" s="18"/>
    </x:row>
    <x:row r="45">
      <x:c r="D45" s="18"/>
      <x:c r="E45" s="18"/>
    </x:row>
    <x:row r="46">
      <x:c r="D46" s="18"/>
      <x:c r="E46" s="18"/>
    </x:row>
    <x:row r="47">
      <x:c r="D47" s="18"/>
      <x:c r="E47" s="18"/>
    </x:row>
    <x:row r="48">
      <x:c r="D48" s="18"/>
      <x:c r="E48" s="18"/>
    </x:row>
    <x:row r="49">
      <x:c r="D49" s="18"/>
      <x:c r="E49" s="18"/>
    </x:row>
    <x:row r="50">
      <x:c r="D50" s="18"/>
      <x:c r="E50" s="18"/>
    </x:row>
    <x:row r="51">
      <x:c r="D51" s="18"/>
      <x:c r="E51" s="18"/>
    </x:row>
    <x:row r="52">
      <x:c r="D52" s="18"/>
      <x:c r="E52" s="18"/>
    </x:row>
    <x:row r="53">
      <x:c r="D53" s="18"/>
      <x:c r="E53" s="18"/>
    </x:row>
    <x:row r="54">
      <x:c r="D54" s="18"/>
      <x:c r="E54" s="18"/>
    </x:row>
    <x:row r="55">
      <x:c r="D55" s="18"/>
      <x:c r="E55" s="18"/>
    </x:row>
    <x:row r="56">
      <x:c r="D56" s="18"/>
      <x:c r="E56" s="18"/>
    </x:row>
    <x:row r="57">
      <x:c r="D57" s="18"/>
      <x:c r="E57" s="18"/>
    </x:row>
    <x:row r="58">
      <x:c r="D58" s="18"/>
      <x:c r="E58" s="18"/>
    </x:row>
    <x:row r="59">
      <x:c r="D59" s="18"/>
      <x:c r="E59" s="18"/>
    </x:row>
    <x:row r="60">
      <x:c r="D60" s="18"/>
      <x:c r="E60" s="18"/>
    </x:row>
    <x:row r="61">
      <x:c r="D61" s="18"/>
      <x:c r="E61" s="18"/>
    </x:row>
    <x:row r="62">
      <x:c r="D62" s="18"/>
      <x:c r="E62" s="18"/>
    </x:row>
    <x:row r="63">
      <x:c r="D63" s="18"/>
      <x:c r="E63" s="18"/>
    </x:row>
    <x:row r="64">
      <x:c r="D64" s="18"/>
      <x:c r="E64" s="18"/>
    </x:row>
    <x:row r="65">
      <x:c r="D65" s="18"/>
      <x:c r="E65" s="18"/>
    </x:row>
    <x:row r="66">
      <x:c r="D66" s="18"/>
      <x:c r="E66" s="18"/>
    </x:row>
    <x:row r="67">
      <x:c r="D67" s="18"/>
      <x:c r="E67" s="18"/>
    </x:row>
    <x:row r="68">
      <x:c r="D68" s="18"/>
      <x:c r="E68" s="18"/>
    </x:row>
    <x:row r="69">
      <x:c r="D69" s="18"/>
      <x:c r="E69" s="18"/>
    </x:row>
    <x:row r="70">
      <x:c r="D70" s="18"/>
      <x:c r="E70" s="18"/>
    </x:row>
    <x:row r="71">
      <x:c r="D71" s="18"/>
      <x:c r="E71" s="18"/>
    </x:row>
    <x:row r="72">
      <x:c r="D72" s="18"/>
      <x:c r="E72" s="18"/>
    </x:row>
    <x:row r="73">
      <x:c r="D73" s="18"/>
      <x:c r="E73" s="18"/>
    </x:row>
    <x:row r="74">
      <x:c r="D74" s="18"/>
      <x:c r="E74" s="18"/>
    </x:row>
    <x:row r="75">
      <x:c r="D75" s="18"/>
      <x:c r="E75" s="18"/>
    </x:row>
    <x:row r="76">
      <x:c r="D76" s="18"/>
      <x:c r="E76" s="18"/>
    </x:row>
    <x:row r="77">
      <x:c r="D77" s="18"/>
      <x:c r="E77" s="18"/>
    </x:row>
    <x:row r="78">
      <x:c r="D78" s="18"/>
      <x:c r="E78" s="18"/>
    </x:row>
    <x:row r="79">
      <x:c r="D79" s="18"/>
      <x:c r="E79" s="18"/>
    </x:row>
    <x:row r="80">
      <x:c r="D80" s="18"/>
      <x:c r="E80" s="18"/>
    </x:row>
    <x:row r="81">
      <x:c r="D81" s="18"/>
      <x:c r="E81" s="18"/>
    </x:row>
    <x:row r="82">
      <x:c r="D82" s="18"/>
      <x:c r="E82" s="18"/>
    </x:row>
    <x:row r="83">
      <x:c r="D83" s="18"/>
      <x:c r="E83" s="18"/>
    </x:row>
    <x:row r="84">
      <x:c r="D84" s="18"/>
      <x:c r="E84" s="18"/>
    </x:row>
    <x:row r="85">
      <x:c r="D85" s="18"/>
      <x:c r="E85" s="18"/>
    </x:row>
    <x:row r="86">
      <x:c r="D86" s="18"/>
      <x:c r="E86" s="18"/>
    </x:row>
    <x:row r="87">
      <x:c r="D87" s="18"/>
      <x:c r="E87" s="18"/>
    </x:row>
    <x:row r="88">
      <x:c r="D88" s="18"/>
      <x:c r="E88" s="18"/>
    </x:row>
    <x:row r="89">
      <x:c r="D89" s="18"/>
      <x:c r="E89" s="18"/>
    </x:row>
    <x:row r="90">
      <x:c r="D90" s="18"/>
      <x:c r="E90" s="18"/>
    </x:row>
    <x:row r="91">
      <x:c r="D91" s="18"/>
      <x:c r="E91" s="18"/>
    </x:row>
    <x:row r="92">
      <x:c r="D92" s="18"/>
      <x:c r="E92" s="18"/>
    </x:row>
    <x:row r="93">
      <x:c r="D93" s="18"/>
      <x:c r="E93" s="18"/>
    </x:row>
    <x:row r="94">
      <x:c r="D94" s="18"/>
      <x:c r="E94" s="18"/>
    </x:row>
    <x:row r="95">
      <x:c r="D95" s="18"/>
      <x:c r="E95" s="18"/>
    </x:row>
    <x:row r="96">
      <x:c r="D96" s="18"/>
      <x:c r="E96" s="18"/>
    </x:row>
    <x:row r="97">
      <x:c r="D97" s="18"/>
      <x:c r="E97" s="18"/>
    </x:row>
    <x:row r="98">
      <x:c r="D98" s="18"/>
      <x:c r="E98" s="18"/>
    </x:row>
    <x:row r="99">
      <x:c r="D99" s="18"/>
      <x:c r="E99" s="18"/>
    </x:row>
    <x:row r="100">
      <x:c r="D100" s="18"/>
      <x:c r="E100" s="18"/>
    </x:row>
    <x:row r="101">
      <x:c r="D101" s="18"/>
      <x:c r="E101" s="18"/>
    </x:row>
  </x:sheetData>
  <x:dataValidations count="1">
    <x:dataValidation type="list" sqref="F2:F101">
      <x:formula1>Lists!$C$2:$C$6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</x:cols>
  <x:sheetData>
    <x:row r="1">
      <x:c r="A1" s="6" t="str">
        <x:v>Month</x:v>
      </x:c>
      <x:c r="B1" s="6" t="str">
        <x:v>Cash £</x:v>
      </x:c>
      <x:c r="C1" s="6" t="str">
        <x:v>Burn £</x:v>
      </x:c>
      <x:c r="D1" s="6" t="str">
        <x:v>Runway Months</x:v>
      </x:c>
      <x:c r="E1" s="6" t="str">
        <x:v>Pilot Revenue £</x:v>
      </x:c>
      <x:c r="F1" s="6" t="str">
        <x:v>ARR £</x:v>
      </x:c>
      <x:c r="G1" s="6" t="str">
        <x:v>Live Pilots</x:v>
      </x:c>
      <x:c r="H1" s="6" t="str">
        <x:v>Customers</x:v>
      </x:c>
      <x:c r="I1" s="6" t="str">
        <x:v>Pipeline £</x:v>
      </x:c>
      <x:c r="J1" s="6" t="str">
        <x:v>Gross Margin %</x:v>
      </x:c>
      <x:c r="K1" s="6" t="str">
        <x:v>WAU %</x:v>
      </x:c>
      <x:c r="L1" s="6" t="str">
        <x:v>Auto Action %</x:v>
      </x:c>
      <x:c r="M1" s="6" t="str">
        <x:v>Review %</x:v>
      </x:c>
      <x:c r="N1" s="6" t="str">
        <x:v>Correction %</x:v>
      </x:c>
      <x:c r="O1" s="6" t="str">
        <x:v>P1/P2 Incidents</x:v>
      </x:c>
      <x:c r="P1" s="6" t="str">
        <x:v>Notes</x:v>
      </x:c>
    </x:row>
    <x:row r="2">
      <x:c r="A2" s="30"/>
      <x:c r="B2" s="20"/>
      <x:c r="C2" s="20"/>
      <x:c r="D2"/>
      <x:c r="E2" s="20"/>
      <x:c r="F2" s="20"/>
      <x:c r="I2" s="20"/>
      <x:c r="J2" s="32"/>
      <x:c r="K2" s="32"/>
      <x:c r="L2" s="32"/>
      <x:c r="M2" s="32"/>
      <x:c r="N2" s="32"/>
    </x:row>
    <x:row r="3">
      <x:c r="A3" s="30"/>
      <x:c r="B3" s="20"/>
      <x:c r="C3" s="20"/>
      <x:c r="E3" s="20"/>
      <x:c r="F3" s="20"/>
      <x:c r="I3" s="20"/>
      <x:c r="J3" s="32"/>
      <x:c r="K3" s="32"/>
      <x:c r="L3" s="32"/>
      <x:c r="M3" s="32"/>
      <x:c r="N3" s="32"/>
    </x:row>
    <x:row r="4">
      <x:c r="A4" s="30"/>
      <x:c r="B4" s="20"/>
      <x:c r="C4" s="20"/>
      <x:c r="E4" s="20"/>
      <x:c r="F4" s="20"/>
      <x:c r="I4" s="20"/>
      <x:c r="J4" s="32"/>
      <x:c r="K4" s="32"/>
      <x:c r="L4" s="32"/>
      <x:c r="M4" s="32"/>
      <x:c r="N4" s="32"/>
    </x:row>
    <x:row r="5">
      <x:c r="A5" s="30"/>
      <x:c r="B5" s="20"/>
      <x:c r="C5" s="20"/>
      <x:c r="E5" s="20"/>
      <x:c r="F5" s="20"/>
      <x:c r="I5" s="20"/>
      <x:c r="J5" s="32"/>
      <x:c r="K5" s="32"/>
      <x:c r="L5" s="32"/>
      <x:c r="M5" s="32"/>
      <x:c r="N5" s="32"/>
    </x:row>
    <x:row r="6">
      <x:c r="A6" s="30"/>
      <x:c r="B6" s="20"/>
      <x:c r="C6" s="20"/>
      <x:c r="E6" s="20"/>
      <x:c r="F6" s="20"/>
      <x:c r="I6" s="20"/>
      <x:c r="J6" s="32"/>
      <x:c r="K6" s="32"/>
      <x:c r="L6" s="32"/>
      <x:c r="M6" s="32"/>
      <x:c r="N6" s="32"/>
    </x:row>
    <x:row r="7">
      <x:c r="A7" s="30"/>
      <x:c r="B7" s="20"/>
      <x:c r="C7" s="20"/>
      <x:c r="E7" s="20"/>
      <x:c r="F7" s="20"/>
      <x:c r="I7" s="20"/>
      <x:c r="J7" s="32"/>
      <x:c r="K7" s="32"/>
      <x:c r="L7" s="32"/>
      <x:c r="M7" s="32"/>
      <x:c r="N7" s="32"/>
    </x:row>
    <x:row r="8">
      <x:c r="A8" s="30"/>
      <x:c r="B8" s="20"/>
      <x:c r="C8" s="20"/>
      <x:c r="E8" s="20"/>
      <x:c r="F8" s="20"/>
      <x:c r="I8" s="20"/>
      <x:c r="J8" s="32"/>
      <x:c r="K8" s="32"/>
      <x:c r="L8" s="32"/>
      <x:c r="M8" s="32"/>
      <x:c r="N8" s="32"/>
    </x:row>
    <x:row r="9">
      <x:c r="A9" s="30"/>
      <x:c r="B9" s="20"/>
      <x:c r="C9" s="20"/>
      <x:c r="E9" s="20"/>
      <x:c r="F9" s="20"/>
      <x:c r="I9" s="20"/>
      <x:c r="J9" s="32"/>
      <x:c r="K9" s="32"/>
      <x:c r="L9" s="32"/>
      <x:c r="M9" s="32"/>
      <x:c r="N9" s="32"/>
    </x:row>
    <x:row r="10">
      <x:c r="A10" s="30"/>
      <x:c r="B10" s="20"/>
      <x:c r="C10" s="20"/>
      <x:c r="E10" s="20"/>
      <x:c r="F10" s="20"/>
      <x:c r="I10" s="20"/>
      <x:c r="J10" s="32"/>
      <x:c r="K10" s="32"/>
      <x:c r="L10" s="32"/>
      <x:c r="M10" s="32"/>
      <x:c r="N10" s="32"/>
    </x:row>
    <x:row r="11">
      <x:c r="A11" s="30"/>
      <x:c r="B11" s="20"/>
      <x:c r="C11" s="20"/>
      <x:c r="E11" s="20"/>
      <x:c r="F11" s="20"/>
      <x:c r="I11" s="20"/>
      <x:c r="J11" s="32"/>
      <x:c r="K11" s="32"/>
      <x:c r="L11" s="32"/>
      <x:c r="M11" s="32"/>
      <x:c r="N11" s="32"/>
    </x:row>
    <x:row r="12">
      <x:c r="A12" s="30"/>
      <x:c r="B12" s="20"/>
      <x:c r="C12" s="20"/>
      <x:c r="E12" s="20"/>
      <x:c r="F12" s="20"/>
      <x:c r="I12" s="20"/>
      <x:c r="J12" s="32"/>
      <x:c r="K12" s="32"/>
      <x:c r="L12" s="32"/>
      <x:c r="M12" s="32"/>
      <x:c r="N12" s="32"/>
    </x:row>
    <x:row r="13">
      <x:c r="A13" s="30"/>
      <x:c r="B13" s="20"/>
      <x:c r="C13" s="20"/>
      <x:c r="E13" s="20"/>
      <x:c r="F13" s="20"/>
      <x:c r="I13" s="20"/>
      <x:c r="J13" s="32"/>
      <x:c r="K13" s="32"/>
      <x:c r="L13" s="32"/>
      <x:c r="M13" s="32"/>
      <x:c r="N13" s="32"/>
    </x:row>
    <x:row r="14">
      <x:c r="A14" s="30"/>
      <x:c r="B14" s="20"/>
      <x:c r="C14" s="20"/>
      <x:c r="E14" s="20"/>
      <x:c r="F14" s="20"/>
      <x:c r="I14" s="20"/>
      <x:c r="J14" s="32"/>
      <x:c r="K14" s="32"/>
      <x:c r="L14" s="32"/>
      <x:c r="M14" s="32"/>
      <x:c r="N14" s="32"/>
    </x:row>
    <x:row r="15">
      <x:c r="A15" s="30"/>
      <x:c r="B15" s="20"/>
      <x:c r="C15" s="20"/>
      <x:c r="E15" s="20"/>
      <x:c r="F15" s="20"/>
      <x:c r="I15" s="20"/>
      <x:c r="J15" s="32"/>
      <x:c r="K15" s="32"/>
      <x:c r="L15" s="32"/>
      <x:c r="M15" s="32"/>
      <x:c r="N15" s="32"/>
    </x:row>
    <x:row r="16">
      <x:c r="A16" s="30"/>
      <x:c r="B16" s="20"/>
      <x:c r="C16" s="20"/>
      <x:c r="E16" s="20"/>
      <x:c r="F16" s="20"/>
      <x:c r="I16" s="20"/>
      <x:c r="J16" s="32"/>
      <x:c r="K16" s="32"/>
      <x:c r="L16" s="32"/>
      <x:c r="M16" s="32"/>
      <x:c r="N16" s="32"/>
    </x:row>
    <x:row r="17">
      <x:c r="A17" s="30"/>
      <x:c r="B17" s="20"/>
      <x:c r="C17" s="20"/>
      <x:c r="E17" s="20"/>
      <x:c r="F17" s="20"/>
      <x:c r="I17" s="20"/>
      <x:c r="J17" s="32"/>
      <x:c r="K17" s="32"/>
      <x:c r="L17" s="32"/>
      <x:c r="M17" s="32"/>
      <x:c r="N17" s="32"/>
    </x:row>
    <x:row r="18">
      <x:c r="A18" s="30"/>
      <x:c r="B18" s="20"/>
      <x:c r="C18" s="20"/>
      <x:c r="E18" s="20"/>
      <x:c r="F18" s="20"/>
      <x:c r="I18" s="20"/>
      <x:c r="J18" s="32"/>
      <x:c r="K18" s="32"/>
      <x:c r="L18" s="32"/>
      <x:c r="M18" s="32"/>
      <x:c r="N18" s="32"/>
    </x:row>
    <x:row r="19">
      <x:c r="A19" s="30"/>
      <x:c r="B19" s="20"/>
      <x:c r="C19" s="20"/>
      <x:c r="E19" s="20"/>
      <x:c r="F19" s="20"/>
      <x:c r="I19" s="20"/>
      <x:c r="J19" s="32"/>
      <x:c r="K19" s="32"/>
      <x:c r="L19" s="32"/>
      <x:c r="M19" s="32"/>
      <x:c r="N19" s="32"/>
    </x:row>
    <x:row r="20">
      <x:c r="A20" s="30"/>
      <x:c r="B20" s="20"/>
      <x:c r="C20" s="20"/>
      <x:c r="E20" s="20"/>
      <x:c r="F20" s="20"/>
      <x:c r="I20" s="20"/>
      <x:c r="J20" s="32"/>
      <x:c r="K20" s="32"/>
      <x:c r="L20" s="32"/>
      <x:c r="M20" s="32"/>
      <x:c r="N20" s="32"/>
    </x:row>
    <x:row r="21">
      <x:c r="A21" s="30"/>
      <x:c r="B21" s="20"/>
      <x:c r="C21" s="20"/>
      <x:c r="E21" s="20"/>
      <x:c r="F21" s="20"/>
      <x:c r="I21" s="20"/>
      <x:c r="J21" s="32"/>
      <x:c r="K21" s="32"/>
      <x:c r="L21" s="32"/>
      <x:c r="M21" s="32"/>
      <x:c r="N21" s="32"/>
    </x:row>
    <x:row r="22">
      <x:c r="A22" s="30"/>
      <x:c r="B22" s="20"/>
      <x:c r="C22" s="20"/>
      <x:c r="E22" s="20"/>
      <x:c r="F22" s="20"/>
      <x:c r="I22" s="20"/>
      <x:c r="J22" s="32"/>
      <x:c r="K22" s="32"/>
      <x:c r="L22" s="32"/>
      <x:c r="M22" s="32"/>
      <x:c r="N22" s="32"/>
    </x:row>
    <x:row r="23">
      <x:c r="A23" s="30"/>
      <x:c r="B23" s="20"/>
      <x:c r="C23" s="20"/>
      <x:c r="E23" s="20"/>
      <x:c r="F23" s="20"/>
      <x:c r="I23" s="20"/>
      <x:c r="J23" s="32"/>
      <x:c r="K23" s="32"/>
      <x:c r="L23" s="32"/>
      <x:c r="M23" s="32"/>
      <x:c r="N23" s="32"/>
    </x:row>
    <x:row r="24">
      <x:c r="A24" s="30"/>
      <x:c r="B24" s="20"/>
      <x:c r="C24" s="20"/>
      <x:c r="E24" s="20"/>
      <x:c r="F24" s="20"/>
      <x:c r="I24" s="20"/>
      <x:c r="J24" s="32"/>
      <x:c r="K24" s="32"/>
      <x:c r="L24" s="32"/>
      <x:c r="M24" s="32"/>
      <x:c r="N24" s="32"/>
    </x:row>
    <x:row r="25">
      <x:c r="A25" s="30"/>
      <x:c r="B25" s="20"/>
      <x:c r="C25" s="20"/>
      <x:c r="E25" s="20"/>
      <x:c r="F25" s="20"/>
      <x:c r="I25" s="20"/>
      <x:c r="J25" s="32"/>
      <x:c r="K25" s="32"/>
      <x:c r="L25" s="32"/>
      <x:c r="M25" s="32"/>
      <x:c r="N25" s="32"/>
    </x:row>
    <x:row r="26">
      <x:c r="A26" s="30"/>
      <x:c r="B26" s="20"/>
      <x:c r="C26" s="20"/>
      <x:c r="E26" s="20"/>
      <x:c r="F26" s="20"/>
      <x:c r="I26" s="20"/>
      <x:c r="J26" s="32"/>
      <x:c r="K26" s="32"/>
      <x:c r="L26" s="32"/>
      <x:c r="M26" s="32"/>
      <x:c r="N26" s="32"/>
    </x:row>
    <x:row r="27">
      <x:c r="A27" s="30"/>
      <x:c r="B27" s="20"/>
      <x:c r="C27" s="20"/>
      <x:c r="E27" s="20"/>
      <x:c r="F27" s="20"/>
      <x:c r="I27" s="20"/>
      <x:c r="J27" s="32"/>
      <x:c r="K27" s="32"/>
      <x:c r="L27" s="32"/>
      <x:c r="M27" s="32"/>
      <x:c r="N27" s="32"/>
    </x:row>
    <x:row r="28">
      <x:c r="A28" s="30"/>
      <x:c r="B28" s="20"/>
      <x:c r="C28" s="20"/>
      <x:c r="E28" s="20"/>
      <x:c r="F28" s="20"/>
      <x:c r="I28" s="20"/>
      <x:c r="J28" s="32"/>
      <x:c r="K28" s="32"/>
      <x:c r="L28" s="32"/>
      <x:c r="M28" s="32"/>
      <x:c r="N28" s="32"/>
    </x:row>
    <x:row r="29">
      <x:c r="A29" s="30"/>
      <x:c r="B29" s="20"/>
      <x:c r="C29" s="20"/>
      <x:c r="E29" s="20"/>
      <x:c r="F29" s="20"/>
      <x:c r="I29" s="20"/>
      <x:c r="J29" s="32"/>
      <x:c r="K29" s="32"/>
      <x:c r="L29" s="32"/>
      <x:c r="M29" s="32"/>
      <x:c r="N29" s="32"/>
    </x:row>
    <x:row r="30">
      <x:c r="A30" s="30"/>
      <x:c r="B30" s="20"/>
      <x:c r="C30" s="20"/>
      <x:c r="E30" s="20"/>
      <x:c r="F30" s="20"/>
      <x:c r="I30" s="20"/>
      <x:c r="J30" s="32"/>
      <x:c r="K30" s="32"/>
      <x:c r="L30" s="32"/>
      <x:c r="M30" s="32"/>
      <x:c r="N30" s="32"/>
    </x:row>
    <x:row r="31">
      <x:c r="A31" s="30"/>
      <x:c r="B31" s="20"/>
      <x:c r="C31" s="20"/>
      <x:c r="E31" s="20"/>
      <x:c r="F31" s="20"/>
      <x:c r="I31" s="20"/>
      <x:c r="J31" s="32"/>
      <x:c r="K31" s="32"/>
      <x:c r="L31" s="32"/>
      <x:c r="M31" s="32"/>
      <x:c r="N31" s="32"/>
    </x:row>
    <x:row r="32">
      <x:c r="A32" s="30"/>
      <x:c r="B32" s="20"/>
      <x:c r="C32" s="20"/>
      <x:c r="E32" s="20"/>
      <x:c r="F32" s="20"/>
      <x:c r="I32" s="20"/>
      <x:c r="J32" s="32"/>
      <x:c r="K32" s="32"/>
      <x:c r="L32" s="32"/>
      <x:c r="M32" s="32"/>
      <x:c r="N32" s="32"/>
    </x:row>
    <x:row r="33">
      <x:c r="A33" s="30"/>
      <x:c r="B33" s="20"/>
      <x:c r="C33" s="20"/>
      <x:c r="E33" s="20"/>
      <x:c r="F33" s="20"/>
      <x:c r="I33" s="20"/>
      <x:c r="J33" s="32"/>
      <x:c r="K33" s="32"/>
      <x:c r="L33" s="32"/>
      <x:c r="M33" s="32"/>
      <x:c r="N33" s="32"/>
    </x:row>
    <x:row r="34">
      <x:c r="A34" s="30"/>
      <x:c r="B34" s="20"/>
      <x:c r="C34" s="20"/>
      <x:c r="E34" s="20"/>
      <x:c r="F34" s="20"/>
      <x:c r="I34" s="20"/>
      <x:c r="J34" s="32"/>
      <x:c r="K34" s="32"/>
      <x:c r="L34" s="32"/>
      <x:c r="M34" s="32"/>
      <x:c r="N34" s="32"/>
    </x:row>
    <x:row r="35">
      <x:c r="A35" s="30"/>
      <x:c r="B35" s="20"/>
      <x:c r="C35" s="20"/>
      <x:c r="E35" s="20"/>
      <x:c r="F35" s="20"/>
      <x:c r="I35" s="20"/>
      <x:c r="J35" s="32"/>
      <x:c r="K35" s="32"/>
      <x:c r="L35" s="32"/>
      <x:c r="M35" s="32"/>
      <x:c r="N35" s="32"/>
    </x:row>
    <x:row r="36">
      <x:c r="A36" s="30"/>
      <x:c r="B36" s="20"/>
      <x:c r="C36" s="20"/>
      <x:c r="E36" s="20"/>
      <x:c r="F36" s="20"/>
      <x:c r="I36" s="20"/>
      <x:c r="J36" s="32"/>
      <x:c r="K36" s="32"/>
      <x:c r="L36" s="32"/>
      <x:c r="M36" s="32"/>
      <x:c r="N36" s="32"/>
    </x:row>
    <x:row r="37">
      <x:c r="A37" s="30"/>
      <x:c r="B37" s="20"/>
      <x:c r="C37" s="20"/>
      <x:c r="E37" s="20"/>
      <x:c r="F37" s="20"/>
      <x:c r="I37" s="20"/>
      <x:c r="J37" s="32"/>
      <x:c r="K37" s="32"/>
      <x:c r="L37" s="32"/>
      <x:c r="M37" s="32"/>
      <x:c r="N37" s="32"/>
    </x:row>
  </x:sheetData>
  <x:pageMargins left="0.7" right="0.7" top="0.75" bottom="0.75" header="0.3" footer="0.3"/>
  <x:drawing xmlns:r="http://schemas.openxmlformats.org/officeDocument/2006/relationships" r:id="R5a43e0ffdbd94401"/>
</x:worksheet>
</file>