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99368b4a1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5355ab1dcaa4f46"/>
    <x:sheet xmlns:r="http://schemas.openxmlformats.org/officeDocument/2006/relationships" name="TO Observations" sheetId="2" r:id="R91385af061a345bb"/>
    <x:sheet xmlns:r="http://schemas.openxmlformats.org/officeDocument/2006/relationships" name="Task Summary" sheetId="3" r:id="R0f27e7b6d8dc4802"/>
    <x:sheet xmlns:r="http://schemas.openxmlformats.org/officeDocument/2006/relationships" name="Opportunity Scorecard" sheetId="4" r:id="R2a87d677ea72409d"/>
    <x:sheet xmlns:r="http://schemas.openxmlformats.org/officeDocument/2006/relationships" name="Proclaim Validation" sheetId="5" r:id="R14fb0f75eb41493a"/>
    <x:sheet xmlns:r="http://schemas.openxmlformats.org/officeDocument/2006/relationships" name="Service Scoping" sheetId="6" r:id="R2d12e9f9f1974be9"/>
    <x:sheet xmlns:r="http://schemas.openxmlformats.org/officeDocument/2006/relationships" name="Pilot Economics" sheetId="7" r:id="R4ad27d54000c440a"/>
    <x:sheet xmlns:r="http://schemas.openxmlformats.org/officeDocument/2006/relationships" name="Decision Dashboard" sheetId="8" r:id="Re72e4a3438c74166"/>
    <x:sheet xmlns:r="http://schemas.openxmlformats.org/officeDocument/2006/relationships" name="Technical Spikes" sheetId="9" r:id="R0a3b064e77684096"/>
    <x:sheet xmlns:r="http://schemas.openxmlformats.org/officeDocument/2006/relationships" name="External Interviews" sheetId="10" r:id="Rb3b6f534023148ea"/>
    <x:sheet xmlns:r="http://schemas.openxmlformats.org/officeDocument/2006/relationships" name="Decision Log" sheetId="11" r:id="Ra746ab2262324efc"/>
    <x:sheet xmlns:r="http://schemas.openxmlformats.org/officeDocument/2006/relationships" name="Eval Tracker" sheetId="12" r:id="Rf5f89a2213ec4d58"/>
    <x:sheet xmlns:r="http://schemas.openxmlformats.org/officeDocument/2006/relationships" name="TO Setup" sheetId="13" r:id="R2ecfd49a4bbb4457"/>
    <x:sheet xmlns:r="http://schemas.openxmlformats.org/officeDocument/2006/relationships" name="Task Taxonomy" sheetId="14" r:id="R57696f8b9729408e"/>
    <x:sheet xmlns:r="http://schemas.openxmlformats.org/officeDocument/2006/relationships" name="Role Cost Assumptions" sheetId="15" r:id="R8e095d238db941c8"/>
    <x:sheet xmlns:r="http://schemas.openxmlformats.org/officeDocument/2006/relationships" name="Proclaim Environment" sheetId="16" r:id="Rf37446812ec14b4a"/>
    <x:sheet xmlns:r="http://schemas.openxmlformats.org/officeDocument/2006/relationships" name="Day 1 Analysis" sheetId="17" r:id="Rc517c4a5158846d3"/>
    <x:sheet xmlns:r="http://schemas.openxmlformats.org/officeDocument/2006/relationships" name="Decision Meeting" sheetId="18" r:id="R366f00a3e791456f"/>
    <x:sheet xmlns:r="http://schemas.openxmlformats.org/officeDocument/2006/relationships" name="Session Log" sheetId="19" r:id="R008ea72aec0a4714"/>
    <x:sheet xmlns:r="http://schemas.openxmlformats.org/officeDocument/2006/relationships" name="Volume Validation" sheetId="20" r:id="R5e6a4fda36eb4c09"/>
    <x:sheet xmlns:r="http://schemas.openxmlformats.org/officeDocument/2006/relationships" name="Task Family Analysis" sheetId="21" r:id="Ra8c40752c2be48bf"/>
    <x:sheet xmlns:r="http://schemas.openxmlformats.org/officeDocument/2006/relationships" name="TO Quality Checks" sheetId="22" r:id="Rd2e86c92fd294638"/>
    <x:sheet xmlns:r="http://schemas.openxmlformats.org/officeDocument/2006/relationships" name="Pre-registered Hypotheses" sheetId="23" r:id="Reeb6d0557c984836"/>
    <x:sheet xmlns:r="http://schemas.openxmlformats.org/officeDocument/2006/relationships" name="TO Data Dictionary" sheetId="24" r:id="R8e180f5d9721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0.0"/>
    <x:numFmt numFmtId="202" formatCode="0.00"/>
    <x:numFmt numFmtId="203" formatCode="£0.00"/>
    <x:numFmt numFmtId="204" formatCode="£#,##0"/>
    <x:numFmt numFmtId="205" formatCode="0%"/>
    <x:numFmt numFmtId="206" formatCode="#,##0.0"/>
    <x:numFmt numFmtId="207" formatCode="0.0x"/>
    <x:numFmt numFmtId="208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F766E"/>
      </x:patternFill>
    </x:fill>
    <x:fill>
      <x:patternFill patternType="solid">
        <x:fgColor rgb="FF183153"/>
      </x:patternFill>
    </x:fill>
    <x:fill>
      <x:patternFill patternType="solid">
        <x:fgColor rgb="FF0F766E"/>
      </x:patternFill>
    </x:fill>
    <x:fill>
      <x:patternFill patternType="solid">
        <x:fgColor rgb="FF183153"/>
      </x:patternFill>
    </x:fill>
    <x:fill>
      <x:patternFill patternType="solid">
        <x:fgColor rgb="FF183153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8" fontId="0" fillId="0" borderId="0" xfId="0" applyNumberFormat="1" applyFont="1" applyFill="1" applyBorder="1"/>
    <x:xf numFmtId="208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f9b3bb8f04f63" /><Relationship Type="http://schemas.openxmlformats.org/officeDocument/2006/relationships/theme" Target="/xl/theme/theme1.xml" Id="R249247480a204f2c" /><Relationship Type="http://schemas.openxmlformats.org/officeDocument/2006/relationships/sharedStrings" Target="/xl/sharedStrings.xml" Id="Rd5fe6f5bb84d4ef8" /><Relationship Type="http://schemas.openxmlformats.org/officeDocument/2006/relationships/worksheet" Target="/xl/worksheets/sheet1.xml" Id="Rd5355ab1dcaa4f46" /><Relationship Type="http://schemas.openxmlformats.org/officeDocument/2006/relationships/worksheet" Target="/xl/worksheets/sheet2.xml" Id="R91385af061a345bb" /><Relationship Type="http://schemas.openxmlformats.org/officeDocument/2006/relationships/worksheet" Target="/xl/worksheets/sheet3.xml" Id="R0f27e7b6d8dc4802" /><Relationship Type="http://schemas.openxmlformats.org/officeDocument/2006/relationships/worksheet" Target="/xl/worksheets/sheet4.xml" Id="R2a87d677ea72409d" /><Relationship Type="http://schemas.openxmlformats.org/officeDocument/2006/relationships/worksheet" Target="/xl/worksheets/sheet5.xml" Id="R14fb0f75eb41493a" /><Relationship Type="http://schemas.openxmlformats.org/officeDocument/2006/relationships/worksheet" Target="/xl/worksheets/sheet6.xml" Id="R2d12e9f9f1974be9" /><Relationship Type="http://schemas.openxmlformats.org/officeDocument/2006/relationships/worksheet" Target="/xl/worksheets/sheet7.xml" Id="R4ad27d54000c440a" /><Relationship Type="http://schemas.openxmlformats.org/officeDocument/2006/relationships/worksheet" Target="/xl/worksheets/sheet8.xml" Id="Re72e4a3438c74166" /><Relationship Type="http://schemas.openxmlformats.org/officeDocument/2006/relationships/worksheet" Target="/xl/worksheets/sheet9.xml" Id="R0a3b064e77684096" /><Relationship Type="http://schemas.openxmlformats.org/officeDocument/2006/relationships/worksheet" Target="/xl/worksheets/sheet10.xml" Id="Rb3b6f534023148ea" /><Relationship Type="http://schemas.openxmlformats.org/officeDocument/2006/relationships/worksheet" Target="/xl/worksheets/sheet11.xml" Id="Ra746ab2262324efc" /><Relationship Type="http://schemas.openxmlformats.org/officeDocument/2006/relationships/worksheet" Target="/xl/worksheets/sheet12.xml" Id="Rf5f89a2213ec4d58" /><Relationship Type="http://schemas.openxmlformats.org/officeDocument/2006/relationships/worksheet" Target="/xl/worksheets/sheet13.xml" Id="R2ecfd49a4bbb4457" /><Relationship Type="http://schemas.openxmlformats.org/officeDocument/2006/relationships/worksheet" Target="/xl/worksheets/sheet14.xml" Id="R57696f8b9729408e" /><Relationship Type="http://schemas.openxmlformats.org/officeDocument/2006/relationships/worksheet" Target="/xl/worksheets/sheet15.xml" Id="R8e095d238db941c8" /><Relationship Type="http://schemas.openxmlformats.org/officeDocument/2006/relationships/worksheet" Target="/xl/worksheets/sheet16.xml" Id="Rf37446812ec14b4a" /><Relationship Type="http://schemas.openxmlformats.org/officeDocument/2006/relationships/worksheet" Target="/xl/worksheets/sheet17.xml" Id="Rc517c4a5158846d3" /><Relationship Type="http://schemas.openxmlformats.org/officeDocument/2006/relationships/worksheet" Target="/xl/worksheets/sheet18.xml" Id="R366f00a3e791456f" /><Relationship Type="http://schemas.openxmlformats.org/officeDocument/2006/relationships/worksheet" Target="/xl/worksheets/sheet19.xml" Id="R008ea72aec0a4714" /><Relationship Type="http://schemas.openxmlformats.org/officeDocument/2006/relationships/worksheet" Target="/xl/worksheets/sheet20.xml" Id="R5e6a4fda36eb4c09" /><Relationship Type="http://schemas.openxmlformats.org/officeDocument/2006/relationships/worksheet" Target="/xl/worksheets/sheet21.xml" Id="Ra8c40752c2be48bf" /><Relationship Type="http://schemas.openxmlformats.org/officeDocument/2006/relationships/worksheet" Target="/xl/worksheets/sheet22.xml" Id="Rd2e86c92fd294638" /><Relationship Type="http://schemas.openxmlformats.org/officeDocument/2006/relationships/worksheet" Target="/xl/worksheets/sheet23.xml" Id="Reeb6d0557c984836" /><Relationship Type="http://schemas.openxmlformats.org/officeDocument/2006/relationships/worksheet" Target="/xl/worksheets/sheet24.xml" Id="R8e180f5d97214e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ba969a86f84e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Score</c:v>
          </c:tx>
          <c:cat>
            <c:strRef>
              <c:f>'Opportunity Scorecard'!$A$2:$A$16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'Opportunity Scorecard'!$M$2:$M$16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ba969a86f84e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621db799ed04aa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6" t="str">
        <x:v>Roles</x:v>
      </x:c>
      <x:c r="B1" s="6" t="str">
        <x:v>Task Categories</x:v>
      </x:c>
      <x:c r="C1" s="6" t="str">
        <x:v>Judgement</x:v>
      </x:c>
      <x:c r="D1" s="6" t="str">
        <x:v>Automation Level</x:v>
      </x:c>
      <x:c r="E1" s="6" t="str">
        <x:v>Confidence</x:v>
      </x:c>
      <x:c r="F1" s="6" t="str">
        <x:v>Proclaim Grade</x:v>
      </x:c>
      <x:c r="G1" s="6" t="str">
        <x:v>Status</x:v>
      </x:c>
      <x:c r="H1" s="6" t="str">
        <x:v>Practice Area</x:v>
      </x:c>
      <x:c r="I1" s="76" t="str">
        <x:v>Sample Mode</x:v>
      </x:c>
      <x:c r="J1" s="76" t="str">
        <x:v>YesNoUnsure</x:v>
      </x:c>
      <x:c r="K1" s="76" t="str">
        <x:v>Evidence Source</x:v>
      </x:c>
      <x:c r="L1" s="76" t="str">
        <x:v>Wait Unit</x:v>
      </x:c>
      <x:c r="M1" s="76" t="str">
        <x:v>Waiting On</x:v>
      </x:c>
      <x:c r="N1" s="76" t="str">
        <x:v>Native Proclaim?</x:v>
      </x:c>
      <x:c r="O1" s="76" t="str">
        <x:v>Why Manual</x:v>
      </x:c>
      <x:c r="P1" s="76" t="str">
        <x:v>Impact Type</x:v>
      </x:c>
    </x:row>
    <x:row r="2">
      <x:c r="A2" t="str">
        <x:v>Legal Admin</x:v>
      </x:c>
      <x:c r="B2" t="str">
        <x:v>FILE</x:v>
      </x:c>
      <x:c r="C2" t="str">
        <x:v>0 - None</x:v>
      </x:c>
      <x:c r="D2" t="str">
        <x:v>A0 - No automation</x:v>
      </x:c>
      <x:c r="E2" t="str">
        <x:v>MEASURED</x:v>
      </x:c>
      <x:c r="F2" t="str">
        <x:v>GREEN</x:v>
      </x:c>
      <x:c r="G2" t="str">
        <x:v>Not Started</x:v>
      </x:c>
      <x:c r="H2" t="str">
        <x:v>Personal Injury</x:v>
      </x:c>
      <x:c r="I2" t="str">
        <x:v>CALIBRATION</x:v>
      </x:c>
      <x:c r="J2" t="str">
        <x:v>Yes</x:v>
      </x:c>
      <x:c r="K2" t="str">
        <x:v>MEASURED</x:v>
      </x:c>
      <x:c r="L2" t="str">
        <x:v>Minutes</x:v>
      </x:c>
      <x:c r="M2" t="str">
        <x:v>None/Internal</x:v>
      </x:c>
      <x:c r="N2" t="str">
        <x:v>Yes</x:v>
      </x:c>
      <x:c r="O2" t="str">
        <x:v>Configuration</x:v>
      </x:c>
      <x:c r="P2" t="str">
        <x:v>Capacity</x:v>
      </x:c>
    </x:row>
    <x:row r="3">
      <x:c r="A3" t="str">
        <x:v>Paralegal</x:v>
      </x:c>
      <x:c r="B3" t="str">
        <x:v>CLASSIFY</x:v>
      </x:c>
      <x:c r="C3" t="str">
        <x:v>1 - Simple rule</x:v>
      </x:c>
      <x:c r="D3" t="str">
        <x:v>A1 - Assist</x:v>
      </x:c>
      <x:c r="E3" t="str">
        <x:v>OBSERVED</x:v>
      </x:c>
      <x:c r="F3" t="str">
        <x:v>AMBER</x:v>
      </x:c>
      <x:c r="G3" t="str">
        <x:v>In Progress</x:v>
      </x:c>
      <x:c r="H3" t="str">
        <x:v>Clinical Negligence</x:v>
      </x:c>
      <x:c r="I3" t="str">
        <x:v>CONTINUOUS</x:v>
      </x:c>
      <x:c r="J3" t="str">
        <x:v>No</x:v>
      </x:c>
      <x:c r="K3" t="str">
        <x:v>DIRECT USER REPORT</x:v>
      </x:c>
      <x:c r="L3" t="str">
        <x:v>Hours</x:v>
      </x:c>
      <x:c r="M3" t="str">
        <x:v>Client</x:v>
      </x:c>
      <x:c r="N3" t="str">
        <x:v>Partial</x:v>
      </x:c>
      <x:c r="O3" t="str">
        <x:v>Internal Resource</x:v>
      </x:c>
      <x:c r="P3" t="str">
        <x:v>Client Service</x:v>
      </x:c>
    </x:row>
    <x:row r="4">
      <x:c r="A4" t="str">
        <x:v>File Handler</x:v>
      </x:c>
      <x:c r="B4" t="str">
        <x:v>MATCH</x:v>
      </x:c>
      <x:c r="C4" t="str">
        <x:v>2 - Contextual choice</x:v>
      </x:c>
      <x:c r="D4" t="str">
        <x:v>A2 - Propose</x:v>
      </x:c>
      <x:c r="E4" t="str">
        <x:v>REPORTED</x:v>
      </x:c>
      <x:c r="F4" t="str">
        <x:v>RED</x:v>
      </x:c>
      <x:c r="G4" t="str">
        <x:v>Passed</x:v>
      </x:c>
      <x:c r="H4" t="str">
        <x:v>Housing/Disrepair</x:v>
      </x:c>
      <x:c r="I4" t="str">
        <x:v>TARGETED_REPEAT</x:v>
      </x:c>
      <x:c r="J4" t="str">
        <x:v>Unsure</x:v>
      </x:c>
      <x:c r="K4" t="str">
        <x:v>SYSTEM REPORT</x:v>
      </x:c>
      <x:c r="L4" t="str">
        <x:v>Days</x:v>
      </x:c>
      <x:c r="M4" t="str">
        <x:v>Insurer/Defendant</x:v>
      </x:c>
      <x:c r="N4" t="str">
        <x:v>No</x:v>
      </x:c>
      <x:c r="O4" t="str">
        <x:v>Training/Adoption</x:v>
      </x:c>
      <x:c r="P4" t="str">
        <x:v>Deadline/Risk</x:v>
      </x:c>
    </x:row>
    <x:row r="5">
      <x:c r="A5" t="str">
        <x:v>Fee Earner</x:v>
      </x:c>
      <x:c r="B5" t="str">
        <x:v>EXTRACT</x:v>
      </x:c>
      <x:c r="C5" t="str">
        <x:v>3 - Experienced admin</x:v>
      </x:c>
      <x:c r="D5" t="str">
        <x:v>A3 - Reversible internal</x:v>
      </x:c>
      <x:c r="E5" t="str">
        <x:v>ASSUMED</x:v>
      </x:c>
      <x:c r="F5" t="str">
        <x:v>UNKNOWN</x:v>
      </x:c>
      <x:c r="G5" t="str">
        <x:v>Failed</x:v>
      </x:c>
      <x:c r="H5" t="str">
        <x:v>Conveyancing</x:v>
      </x:c>
      <x:c r="I5" t="str">
        <x:v>FOLLOW_UP</x:v>
      </x:c>
      <x:c r="K5" t="str">
        <x:v>ASSUMPTION</x:v>
      </x:c>
      <x:c r="L5" t="str">
        <x:v>Weeks</x:v>
      </x:c>
      <x:c r="M5" t="str">
        <x:v>Medical Records</x:v>
      </x:c>
      <x:c r="N5" t="str">
        <x:v>Unknown</x:v>
      </x:c>
      <x:c r="O5" t="str">
        <x:v>Integration Gap</x:v>
      </x:c>
      <x:c r="P5" t="str">
        <x:v>Cash/Disbursement</x:v>
      </x:c>
    </x:row>
    <x:row r="6">
      <x:c r="A6" t="str">
        <x:v>Team Leader</x:v>
      </x:c>
      <x:c r="B6" t="str">
        <x:v>DATA_ENTRY</x:v>
      </x:c>
      <x:c r="C6" t="str">
        <x:v>4 - Legal judgement</x:v>
      </x:c>
      <x:c r="D6" t="str">
        <x:v>A4 - Controlled external</x:v>
      </x:c>
      <x:c r="G6" t="str">
        <x:v>Partial</x:v>
      </x:c>
      <x:c r="H6" t="str">
        <x:v>Employment</x:v>
      </x:c>
      <x:c r="K6" t="str">
        <x:v>UNKNOWN</x:v>
      </x:c>
      <x:c r="L6" t="str">
        <x:v>N/A</x:v>
      </x:c>
      <x:c r="M6" t="str">
        <x:v>Medical Expert/MRO</x:v>
      </x:c>
      <x:c r="O6" t="str">
        <x:v>Policy/Approval</x:v>
      </x:c>
      <x:c r="P6" t="str">
        <x:v>Complaint</x:v>
      </x:c>
    </x:row>
    <x:row r="7">
      <x:c r="A7" t="str">
        <x:v>Practice Head</x:v>
      </x:c>
      <x:c r="B7" t="str">
        <x:v>CREATE_TASK</x:v>
      </x:c>
      <x:c r="C7" t="str">
        <x:v>5 - Senior legal judgement</x:v>
      </x:c>
      <x:c r="D7" t="str">
        <x:v>A5 - High impact</x:v>
      </x:c>
      <x:c r="G7" t="str">
        <x:v>Unknown</x:v>
      </x:c>
      <x:c r="H7" t="str">
        <x:v>Family</x:v>
      </x:c>
      <x:c r="M7" t="str">
        <x:v>Counsel/Expert</x:v>
      </x:c>
      <x:c r="O7" t="str">
        <x:v>Legal Judgement</x:v>
      </x:c>
      <x:c r="P7" t="str">
        <x:v>Revenue/Throughput</x:v>
      </x:c>
    </x:row>
    <x:row r="8">
      <x:c r="A8" t="str">
        <x:v>Operations</x:v>
      </x:c>
      <x:c r="B8" t="str">
        <x:v>CHASE</x:v>
      </x:c>
      <x:c r="H8" t="str">
        <x:v>Immigration</x:v>
      </x:c>
      <x:c r="M8" t="str">
        <x:v>Court/HMCTS</x:v>
      </x:c>
      <x:c r="O8" t="str">
        <x:v>External Dependency</x:v>
      </x:c>
      <x:c r="P8" t="str">
        <x:v>Compliance</x:v>
      </x:c>
    </x:row>
    <x:row r="9">
      <x:c r="A9" t="str">
        <x:v>IT/Applications</x:v>
      </x:c>
      <x:c r="B9" t="str">
        <x:v>CLIENT_UPDATE</x:v>
      </x:c>
      <x:c r="H9" t="str">
        <x:v>Other</x:v>
      </x:c>
      <x:c r="M9" t="str">
        <x:v>Funder/ATE</x:v>
      </x:c>
      <x:c r="O9" t="str">
        <x:v>Unknown</x:v>
      </x:c>
      <x:c r="P9" t="str">
        <x:v>Other</x:v>
      </x:c>
    </x:row>
    <x:row r="10">
      <x:c r="A10" t="str">
        <x:v>Other</x:v>
      </x:c>
      <x:c r="B10" t="str">
        <x:v>DRAFT</x:v>
      </x:c>
      <x:c r="M10" t="str">
        <x:v>Rehabilitation</x:v>
      </x:c>
      <x:c r="P10" t="str">
        <x:v>None</x:v>
      </x:c>
    </x:row>
    <x:row r="11">
      <x:c r="B11" t="str">
        <x:v>REVIEW</x:v>
      </x:c>
      <x:c r="M11" t="str">
        <x:v>Other</x:v>
      </x:c>
    </x:row>
    <x:row r="12">
      <x:c r="B12" t="str">
        <x:v>DEADLINE</x:v>
      </x:c>
    </x:row>
    <x:row r="13">
      <x:c r="B13" t="str">
        <x:v>EVIDENCE</x:v>
      </x:c>
    </x:row>
    <x:row r="14">
      <x:c r="B14" t="str">
        <x:v>INTAKE</x:v>
      </x:c>
    </x:row>
    <x:row r="15">
      <x:c r="B15" t="str">
        <x:v>BILLING</x:v>
      </x:c>
    </x:row>
    <x:row r="16">
      <x:c r="B16" t="str">
        <x:v>SEARCH</x:v>
      </x:c>
    </x:row>
    <x:row r="17">
      <x:c r="B17" t="str">
        <x:v>REPORT</x:v>
      </x:c>
    </x:row>
    <x:row r="18">
      <x:c r="B18" t="str">
        <x:v>OTHER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34" hidden="0" customWidth="1"/>
    <x:col min="7" max="7" width="24" hidden="0" customWidth="1"/>
    <x:col min="8" max="8" width="12" hidden="0" customWidth="1"/>
    <x:col min="9" max="9" width="12" hidden="0" customWidth="1"/>
    <x:col min="10" max="10" width="24" hidden="0" customWidth="1"/>
    <x:col min="11" max="11" width="12" hidden="0" customWidth="1"/>
    <x:col min="12" max="12" width="15" hidden="0" customWidth="1"/>
    <x:col min="13" max="13" width="20" hidden="0" customWidth="1"/>
    <x:col min="14" max="14" width="22" hidden="0" customWidth="1"/>
    <x:col min="15" max="15" width="12" hidden="0" customWidth="1"/>
    <x:col min="16" max="16" width="12" hidden="0" customWidth="1"/>
    <x:col min="17" max="17" width="15" hidden="0" customWidth="1"/>
    <x:col min="18" max="18" width="18" hidden="0" customWidth="1"/>
    <x:col min="19" max="19" width="16" hidden="0" customWidth="1"/>
    <x:col min="20" max="20" width="16" hidden="0" customWidth="1"/>
    <x:col min="21" max="21" width="14" hidden="0" customWidth="1"/>
    <x:col min="22" max="22" width="12" hidden="0" customWidth="1"/>
    <x:col min="23" max="23" width="32" hidden="0" customWidth="1"/>
    <x:col min="24" max="24" width="28" hidden="0" customWidth="1"/>
    <x:col min="25" max="25" width="16" hidden="0" customWidth="1"/>
    <x:col min="26" max="26" width="18" hidden="0" customWidth="1"/>
    <x:col min="27" max="27" width="15" hidden="0" customWidth="1"/>
    <x:col min="28" max="28" width="15" hidden="0" customWidth="1"/>
    <x:col min="29" max="29" width="12" hidden="0" customWidth="1"/>
    <x:col min="30" max="30" width="12" hidden="0" customWidth="1"/>
    <x:col min="31" max="31" width="15" hidden="0" customWidth="1"/>
    <x:col min="32" max="32" width="24" hidden="0" customWidth="1"/>
    <x:col min="33" max="33" width="20" hidden="0" customWidth="1"/>
    <x:col min="34" max="34" width="20" hidden="0" customWidth="1"/>
    <x:col min="35" max="35" width="20" hidden="0" customWidth="1"/>
    <x:col min="36" max="36" width="24" hidden="0" customWidth="1"/>
    <x:col min="37" max="37" width="24" hidden="0" customWidth="1"/>
    <x:col min="38" max="38" width="22" hidden="0" customWidth="1"/>
    <x:col min="39" max="39" width="18" hidden="0" customWidth="1"/>
    <x:col min="40" max="40" width="18" hidden="0" customWidth="1"/>
    <x:col min="41" max="41" width="18" hidden="0" customWidth="1"/>
    <x:col min="42" max="42" width="30" hidden="0" customWidth="1"/>
  </x:cols>
  <x:sheetData>
    <x:row r="1">
      <x:c r="A1" s="6" t="str">
        <x:v>Obs ID</x:v>
      </x:c>
      <x:c r="B1" s="6" t="str">
        <x:v>Date</x:v>
      </x:c>
      <x:c r="C1" s="6" t="str">
        <x:v>Role</x:v>
      </x:c>
      <x:c r="D1" s="6" t="str">
        <x:v>Practice Area</x:v>
      </x:c>
      <x:c r="E1" s="6" t="str">
        <x:v>Task Category</x:v>
      </x:c>
      <x:c r="F1" s="6" t="str">
        <x:v>Task Description</x:v>
      </x:c>
      <x:c r="G1" s="6" t="str">
        <x:v>Trigger</x:v>
      </x:c>
      <x:c r="H1" s="6" t="str">
        <x:v>Active Minutes</x:v>
      </x:c>
      <x:c r="I1" s="6" t="str">
        <x:v>Waiting Minutes</x:v>
      </x:c>
      <x:c r="J1" s="6" t="str">
        <x:v>Systems Touched</x:v>
      </x:c>
      <x:c r="K1" s="6" t="str">
        <x:v>System Switches</x:v>
      </x:c>
      <x:c r="L1" s="6" t="str">
        <x:v>Approx Steps/Clicks</x:v>
      </x:c>
      <x:c r="M1" s="6" t="str">
        <x:v>Judgement</x:v>
      </x:c>
      <x:c r="N1" s="6" t="str">
        <x:v>Automation Level</x:v>
      </x:c>
      <x:c r="O1" s="6" t="str">
        <x:v>Exception?</x:v>
      </x:c>
      <x:c r="P1" s="6" t="str">
        <x:v>Rework/Error?</x:v>
      </x:c>
      <x:c r="Q1" s="6" t="str">
        <x:v>Supervisor Review Min</x:v>
      </x:c>
      <x:c r="R1" s="6" t="str">
        <x:v>Events/Person/Day Estimate</x:v>
      </x:c>
      <x:c r="S1" s="6" t="str">
        <x:v>People Doing Task</x:v>
      </x:c>
      <x:c r="T1" s="6" t="str">
        <x:v>Working Days/Year</x:v>
      </x:c>
      <x:c r="U1" s="6" t="str">
        <x:v>Loaded £/Hour</x:v>
      </x:c>
      <x:c r="V1" s="6" t="str">
        <x:v>Confidence</x:v>
      </x:c>
      <x:c r="W1" s="6" t="str">
        <x:v>Notes</x:v>
      </x:c>
      <x:c r="X1" s="76" t="str">
        <x:v>Task Family</x:v>
      </x:c>
      <x:c r="Y1" s="76" t="str">
        <x:v>Session ID</x:v>
      </x:c>
      <x:c r="Z1" s="76" t="str">
        <x:v>Sample Mode</x:v>
      </x:c>
      <x:c r="AA1" s="76" t="str">
        <x:v>Normal Path?</x:v>
      </x:c>
      <x:c r="AB1" s="76" t="str">
        <x:v>Interrupted?</x:v>
      </x:c>
      <x:c r="AC1" s="76" t="str">
        <x:v>Batch Size</x:v>
      </x:c>
      <x:c r="AD1" s="76" t="str">
        <x:v>Handoffs</x:v>
      </x:c>
      <x:c r="AE1" s="76" t="str">
        <x:v>Wait Duration</x:v>
      </x:c>
      <x:c r="AF1" s="76" t="str">
        <x:v>Wait Unit</x:v>
      </x:c>
      <x:c r="AG1" s="76" t="str">
        <x:v>Waiting On</x:v>
      </x:c>
      <x:c r="AH1" s="76" t="str">
        <x:v>Timing Evidence</x:v>
      </x:c>
      <x:c r="AI1" s="76" t="str">
        <x:v>Frequency Evidence</x:v>
      </x:c>
      <x:c r="AJ1" s="76" t="str">
        <x:v>People Count Evidence</x:v>
      </x:c>
      <x:c r="AK1" s="76" t="str">
        <x:v>Native Proclaim Automation?</x:v>
      </x:c>
      <x:c r="AL1" s="76" t="str">
        <x:v>Why Manual?</x:v>
      </x:c>
      <x:c r="AM1" s="76" t="str">
        <x:v>Impact Type</x:v>
      </x:c>
      <x:c r="AN1" s="76" t="str">
        <x:v>Impact Severity 0-5</x:v>
      </x:c>
      <x:c r="AO1" s="76" t="str">
        <x:v>Include in Scoring?</x:v>
      </x:c>
      <x:c r="AP1" s="76" t="str">
        <x:v>Exclusion Reason</x:v>
      </x:c>
    </x:row>
    <x:row r="2">
      <x:c r="A2" s="12" t="str">
        <x:v>OBS-001</x:v>
      </x:c>
      <x:c r="B2" s="14"/>
      <x:c r="C2" s="12"/>
      <x:c r="D2" s="12"/>
      <x:c r="E2" s="12"/>
      <x:c r="F2" s="12"/>
      <x:c r="G2" s="12"/>
      <x:c r="H2" s="16"/>
      <x:c r="I2" s="16"/>
      <x:c r="J2" s="12"/>
      <x:c r="K2" s="12"/>
      <x:c r="L2" s="12"/>
      <x:c r="M2" s="12"/>
      <x:c r="N2" s="12"/>
      <x:c r="O2" s="12"/>
      <x:c r="P2" s="12"/>
      <x:c r="Q2" s="16"/>
      <x:c r="R2" s="18"/>
      <x:c r="S2" s="18"/>
      <x:c r="T2" s="12" t="n">
        <x:v>220</x:v>
      </x:c>
      <x:c r="U2" s="20" t="n">
        <x:f>IFERROR(INDEX('Role Cost Assumptions'!$B$2:$B$10,MATCH(C2,'Role Cost Assumptions'!$A$2:$A$10,0)),25)</x:f>
        <x:v>25</x:v>
      </x:c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  <x:c r="AL2" s="12"/>
      <x:c r="AM2" s="12"/>
      <x:c r="AN2" s="12"/>
      <x:c r="AO2" s="12"/>
      <x:c r="AP2" s="12"/>
    </x:row>
    <x:row r="3">
      <x:c r="A3" s="12" t="str">
        <x:v>OBS-002</x:v>
      </x:c>
      <x:c r="B3" s="14"/>
      <x:c r="C3" s="12"/>
      <x:c r="D3" s="12"/>
      <x:c r="E3" s="12"/>
      <x:c r="F3" s="12"/>
      <x:c r="G3" s="12"/>
      <x:c r="H3" s="16"/>
      <x:c r="I3" s="16"/>
      <x:c r="J3" s="12"/>
      <x:c r="K3" s="12"/>
      <x:c r="L3" s="12"/>
      <x:c r="M3" s="12"/>
      <x:c r="N3" s="12"/>
      <x:c r="O3" s="12"/>
      <x:c r="P3" s="12"/>
      <x:c r="Q3" s="16"/>
      <x:c r="R3" s="18"/>
      <x:c r="S3" s="18"/>
      <x:c r="T3" s="12" t="n">
        <x:v>220</x:v>
      </x:c>
      <x:c r="U3" s="20" t="n">
        <x:f>IFERROR(INDEX('Role Cost Assumptions'!$B$2:$B$10,MATCH(C3,'Role Cost Assumptions'!$A$2:$A$10,0)),25)</x:f>
        <x:v>25</x:v>
      </x:c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  <x:c r="AI3" s="12"/>
      <x:c r="AJ3" s="12"/>
      <x:c r="AK3" s="12"/>
      <x:c r="AL3" s="12"/>
      <x:c r="AM3" s="12"/>
      <x:c r="AN3" s="12"/>
      <x:c r="AO3" s="12"/>
      <x:c r="AP3" s="12"/>
    </x:row>
    <x:row r="4">
      <x:c r="A4" s="12" t="str">
        <x:v>OBS-003</x:v>
      </x:c>
      <x:c r="B4" s="14"/>
      <x:c r="C4" s="12"/>
      <x:c r="D4" s="12"/>
      <x:c r="E4" s="12"/>
      <x:c r="F4" s="12"/>
      <x:c r="G4" s="12"/>
      <x:c r="H4" s="16"/>
      <x:c r="I4" s="16"/>
      <x:c r="J4" s="12"/>
      <x:c r="K4" s="12"/>
      <x:c r="L4" s="12"/>
      <x:c r="M4" s="12"/>
      <x:c r="N4" s="12"/>
      <x:c r="O4" s="12"/>
      <x:c r="P4" s="12"/>
      <x:c r="Q4" s="16"/>
      <x:c r="R4" s="18"/>
      <x:c r="S4" s="18"/>
      <x:c r="T4" s="12" t="n">
        <x:v>220</x:v>
      </x:c>
      <x:c r="U4" s="20" t="n">
        <x:f>IFERROR(INDEX('Role Cost Assumptions'!$B$2:$B$10,MATCH(C4,'Role Cost Assumptions'!$A$2:$A$10,0)),25)</x:f>
        <x:v>25</x:v>
      </x:c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  <x:c r="AI4" s="12"/>
      <x:c r="AJ4" s="12"/>
      <x:c r="AK4" s="12"/>
      <x:c r="AL4" s="12"/>
      <x:c r="AM4" s="12"/>
      <x:c r="AN4" s="12"/>
      <x:c r="AO4" s="12"/>
      <x:c r="AP4" s="12"/>
    </x:row>
    <x:row r="5">
      <x:c r="A5" s="12" t="str">
        <x:v>OBS-004</x:v>
      </x:c>
      <x:c r="B5" s="14"/>
      <x:c r="C5" s="12"/>
      <x:c r="D5" s="12"/>
      <x:c r="E5" s="12"/>
      <x:c r="F5" s="12"/>
      <x:c r="G5" s="12"/>
      <x:c r="H5" s="16"/>
      <x:c r="I5" s="16"/>
      <x:c r="J5" s="12"/>
      <x:c r="K5" s="12"/>
      <x:c r="L5" s="12"/>
      <x:c r="M5" s="12"/>
      <x:c r="N5" s="12"/>
      <x:c r="O5" s="12"/>
      <x:c r="P5" s="12"/>
      <x:c r="Q5" s="16"/>
      <x:c r="R5" s="18"/>
      <x:c r="S5" s="18"/>
      <x:c r="T5" s="12" t="n">
        <x:v>220</x:v>
      </x:c>
      <x:c r="U5" s="20" t="n">
        <x:f>IFERROR(INDEX('Role Cost Assumptions'!$B$2:$B$10,MATCH(C5,'Role Cost Assumptions'!$A$2:$A$10,0)),25)</x:f>
        <x:v>25</x:v>
      </x:c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</x:row>
    <x:row r="6">
      <x:c r="A6" s="12" t="str">
        <x:v>OBS-005</x:v>
      </x:c>
      <x:c r="B6" s="14"/>
      <x:c r="C6" s="12"/>
      <x:c r="D6" s="12"/>
      <x:c r="E6" s="12"/>
      <x:c r="F6" s="12"/>
      <x:c r="G6" s="12"/>
      <x:c r="H6" s="16"/>
      <x:c r="I6" s="16"/>
      <x:c r="J6" s="12"/>
      <x:c r="K6" s="12"/>
      <x:c r="L6" s="12"/>
      <x:c r="M6" s="12"/>
      <x:c r="N6" s="12"/>
      <x:c r="O6" s="12"/>
      <x:c r="P6" s="12"/>
      <x:c r="Q6" s="16"/>
      <x:c r="R6" s="18"/>
      <x:c r="S6" s="18"/>
      <x:c r="T6" s="12" t="n">
        <x:v>220</x:v>
      </x:c>
      <x:c r="U6" s="20" t="n">
        <x:f>IFERROR(INDEX('Role Cost Assumptions'!$B$2:$B$10,MATCH(C6,'Role Cost Assumptions'!$A$2:$A$10,0)),25)</x:f>
        <x:v>25</x:v>
      </x:c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</x:row>
    <x:row r="7">
      <x:c r="A7" s="12" t="str">
        <x:v>OBS-006</x:v>
      </x:c>
      <x:c r="B7" s="14"/>
      <x:c r="C7" s="12"/>
      <x:c r="D7" s="12"/>
      <x:c r="E7" s="12"/>
      <x:c r="F7" s="12"/>
      <x:c r="G7" s="12"/>
      <x:c r="H7" s="16"/>
      <x:c r="I7" s="16"/>
      <x:c r="J7" s="12"/>
      <x:c r="K7" s="12"/>
      <x:c r="L7" s="12"/>
      <x:c r="M7" s="12"/>
      <x:c r="N7" s="12"/>
      <x:c r="O7" s="12"/>
      <x:c r="P7" s="12"/>
      <x:c r="Q7" s="16"/>
      <x:c r="R7" s="18"/>
      <x:c r="S7" s="18"/>
      <x:c r="T7" s="12" t="n">
        <x:v>220</x:v>
      </x:c>
      <x:c r="U7" s="20" t="n">
        <x:f>IFERROR(INDEX('Role Cost Assumptions'!$B$2:$B$10,MATCH(C7,'Role Cost Assumptions'!$A$2:$A$10,0)),25)</x:f>
        <x:v>25</x:v>
      </x:c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</x:row>
    <x:row r="8">
      <x:c r="A8" s="12" t="str">
        <x:v>OBS-007</x:v>
      </x:c>
      <x:c r="B8" s="14"/>
      <x:c r="C8" s="12"/>
      <x:c r="D8" s="12"/>
      <x:c r="E8" s="12"/>
      <x:c r="F8" s="12"/>
      <x:c r="G8" s="12"/>
      <x:c r="H8" s="16"/>
      <x:c r="I8" s="16"/>
      <x:c r="J8" s="12"/>
      <x:c r="K8" s="12"/>
      <x:c r="L8" s="12"/>
      <x:c r="M8" s="12"/>
      <x:c r="N8" s="12"/>
      <x:c r="O8" s="12"/>
      <x:c r="P8" s="12"/>
      <x:c r="Q8" s="16"/>
      <x:c r="R8" s="18"/>
      <x:c r="S8" s="18"/>
      <x:c r="T8" s="12" t="n">
        <x:v>220</x:v>
      </x:c>
      <x:c r="U8" s="20" t="n">
        <x:f>IFERROR(INDEX('Role Cost Assumptions'!$B$2:$B$10,MATCH(C8,'Role Cost Assumptions'!$A$2:$A$10,0)),25)</x:f>
        <x:v>25</x:v>
      </x:c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</x:row>
    <x:row r="9">
      <x:c r="A9" s="12" t="str">
        <x:v>OBS-008</x:v>
      </x:c>
      <x:c r="B9" s="14"/>
      <x:c r="C9" s="12"/>
      <x:c r="D9" s="12"/>
      <x:c r="E9" s="12"/>
      <x:c r="F9" s="12"/>
      <x:c r="G9" s="12"/>
      <x:c r="H9" s="16"/>
      <x:c r="I9" s="16"/>
      <x:c r="J9" s="12"/>
      <x:c r="K9" s="12"/>
      <x:c r="L9" s="12"/>
      <x:c r="M9" s="12"/>
      <x:c r="N9" s="12"/>
      <x:c r="O9" s="12"/>
      <x:c r="P9" s="12"/>
      <x:c r="Q9" s="16"/>
      <x:c r="R9" s="18"/>
      <x:c r="S9" s="18"/>
      <x:c r="T9" s="12" t="n">
        <x:v>220</x:v>
      </x:c>
      <x:c r="U9" s="20" t="n">
        <x:f>IFERROR(INDEX('Role Cost Assumptions'!$B$2:$B$10,MATCH(C9,'Role Cost Assumptions'!$A$2:$A$10,0)),25)</x:f>
        <x:v>25</x:v>
      </x:c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</x:row>
    <x:row r="10">
      <x:c r="A10" s="12" t="str">
        <x:v>OBS-009</x:v>
      </x:c>
      <x:c r="B10" s="14"/>
      <x:c r="C10" s="12"/>
      <x:c r="D10" s="12"/>
      <x:c r="E10" s="12"/>
      <x:c r="F10" s="12"/>
      <x:c r="G10" s="12"/>
      <x:c r="H10" s="16"/>
      <x:c r="I10" s="16"/>
      <x:c r="J10" s="12"/>
      <x:c r="K10" s="12"/>
      <x:c r="L10" s="12"/>
      <x:c r="M10" s="12"/>
      <x:c r="N10" s="12"/>
      <x:c r="O10" s="12"/>
      <x:c r="P10" s="12"/>
      <x:c r="Q10" s="16"/>
      <x:c r="R10" s="18"/>
      <x:c r="S10" s="18"/>
      <x:c r="T10" s="12" t="n">
        <x:v>220</x:v>
      </x:c>
      <x:c r="U10" s="20" t="n">
        <x:f>IFERROR(INDEX('Role Cost Assumptions'!$B$2:$B$10,MATCH(C10,'Role Cost Assumptions'!$A$2:$A$10,0)),25)</x:f>
        <x:v>25</x:v>
      </x:c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</x:row>
    <x:row r="11">
      <x:c r="A11" s="12" t="str">
        <x:v>OBS-010</x:v>
      </x:c>
      <x:c r="B11" s="14"/>
      <x:c r="C11" s="12"/>
      <x:c r="D11" s="12"/>
      <x:c r="E11" s="12"/>
      <x:c r="F11" s="12"/>
      <x:c r="G11" s="12"/>
      <x:c r="H11" s="16"/>
      <x:c r="I11" s="16"/>
      <x:c r="J11" s="12"/>
      <x:c r="K11" s="12"/>
      <x:c r="L11" s="12"/>
      <x:c r="M11" s="12"/>
      <x:c r="N11" s="12"/>
      <x:c r="O11" s="12"/>
      <x:c r="P11" s="12"/>
      <x:c r="Q11" s="16"/>
      <x:c r="R11" s="18"/>
      <x:c r="S11" s="18"/>
      <x:c r="T11" s="12" t="n">
        <x:v>220</x:v>
      </x:c>
      <x:c r="U11" s="20" t="n">
        <x:f>IFERROR(INDEX('Role Cost Assumptions'!$B$2:$B$10,MATCH(C11,'Role Cost Assumptions'!$A$2:$A$10,0)),25)</x:f>
        <x:v>25</x:v>
      </x:c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</x:row>
    <x:row r="12">
      <x:c r="A12" s="12" t="str">
        <x:v>OBS-011</x:v>
      </x:c>
      <x:c r="B12" s="14"/>
      <x:c r="C12" s="12"/>
      <x:c r="D12" s="12"/>
      <x:c r="E12" s="12"/>
      <x:c r="F12" s="12"/>
      <x:c r="G12" s="12"/>
      <x:c r="H12" s="16"/>
      <x:c r="I12" s="16"/>
      <x:c r="J12" s="12"/>
      <x:c r="K12" s="12"/>
      <x:c r="L12" s="12"/>
      <x:c r="M12" s="12"/>
      <x:c r="N12" s="12"/>
      <x:c r="O12" s="12"/>
      <x:c r="P12" s="12"/>
      <x:c r="Q12" s="16"/>
      <x:c r="R12" s="18"/>
      <x:c r="S12" s="18"/>
      <x:c r="T12" s="12" t="n">
        <x:v>220</x:v>
      </x:c>
      <x:c r="U12" s="20" t="n">
        <x:f>IFERROR(INDEX('Role Cost Assumptions'!$B$2:$B$10,MATCH(C12,'Role Cost Assumptions'!$A$2:$A$10,0)),25)</x:f>
        <x:v>25</x:v>
      </x:c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</x:row>
    <x:row r="13">
      <x:c r="A13" s="12" t="str">
        <x:v>OBS-012</x:v>
      </x:c>
      <x:c r="B13" s="14"/>
      <x:c r="C13" s="12"/>
      <x:c r="D13" s="12"/>
      <x:c r="E13" s="12"/>
      <x:c r="F13" s="12"/>
      <x:c r="G13" s="12"/>
      <x:c r="H13" s="16"/>
      <x:c r="I13" s="16"/>
      <x:c r="J13" s="12"/>
      <x:c r="K13" s="12"/>
      <x:c r="L13" s="12"/>
      <x:c r="M13" s="12"/>
      <x:c r="N13" s="12"/>
      <x:c r="O13" s="12"/>
      <x:c r="P13" s="12"/>
      <x:c r="Q13" s="16"/>
      <x:c r="R13" s="18"/>
      <x:c r="S13" s="18"/>
      <x:c r="T13" s="12" t="n">
        <x:v>220</x:v>
      </x:c>
      <x:c r="U13" s="20" t="n">
        <x:f>IFERROR(INDEX('Role Cost Assumptions'!$B$2:$B$10,MATCH(C13,'Role Cost Assumptions'!$A$2:$A$10,0)),25)</x:f>
        <x:v>25</x:v>
      </x:c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</x:row>
    <x:row r="14">
      <x:c r="A14" s="12" t="str">
        <x:v>OBS-013</x:v>
      </x:c>
      <x:c r="B14" s="14"/>
      <x:c r="C14" s="12"/>
      <x:c r="D14" s="12"/>
      <x:c r="E14" s="12"/>
      <x:c r="F14" s="12"/>
      <x:c r="G14" s="12"/>
      <x:c r="H14" s="16"/>
      <x:c r="I14" s="16"/>
      <x:c r="J14" s="12"/>
      <x:c r="K14" s="12"/>
      <x:c r="L14" s="12"/>
      <x:c r="M14" s="12"/>
      <x:c r="N14" s="12"/>
      <x:c r="O14" s="12"/>
      <x:c r="P14" s="12"/>
      <x:c r="Q14" s="16"/>
      <x:c r="R14" s="18"/>
      <x:c r="S14" s="18"/>
      <x:c r="T14" s="12" t="n">
        <x:v>220</x:v>
      </x:c>
      <x:c r="U14" s="20" t="n">
        <x:f>IFERROR(INDEX('Role Cost Assumptions'!$B$2:$B$10,MATCH(C14,'Role Cost Assumptions'!$A$2:$A$10,0)),25)</x:f>
        <x:v>25</x:v>
      </x:c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</x:row>
    <x:row r="15">
      <x:c r="A15" s="12" t="str">
        <x:v>OBS-014</x:v>
      </x:c>
      <x:c r="B15" s="14"/>
      <x:c r="C15" s="12"/>
      <x:c r="D15" s="12"/>
      <x:c r="E15" s="12"/>
      <x:c r="F15" s="12"/>
      <x:c r="G15" s="12"/>
      <x:c r="H15" s="16"/>
      <x:c r="I15" s="16"/>
      <x:c r="J15" s="12"/>
      <x:c r="K15" s="12"/>
      <x:c r="L15" s="12"/>
      <x:c r="M15" s="12"/>
      <x:c r="N15" s="12"/>
      <x:c r="O15" s="12"/>
      <x:c r="P15" s="12"/>
      <x:c r="Q15" s="16"/>
      <x:c r="R15" s="18"/>
      <x:c r="S15" s="18"/>
      <x:c r="T15" s="12" t="n">
        <x:v>220</x:v>
      </x:c>
      <x:c r="U15" s="20" t="n">
        <x:f>IFERROR(INDEX('Role Cost Assumptions'!$B$2:$B$10,MATCH(C15,'Role Cost Assumptions'!$A$2:$A$10,0)),25)</x:f>
        <x:v>25</x:v>
      </x:c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</x:row>
    <x:row r="16">
      <x:c r="A16" s="12" t="str">
        <x:v>OBS-015</x:v>
      </x:c>
      <x:c r="B16" s="14"/>
      <x:c r="C16" s="12"/>
      <x:c r="D16" s="12"/>
      <x:c r="E16" s="12"/>
      <x:c r="F16" s="12"/>
      <x:c r="G16" s="12"/>
      <x:c r="H16" s="16"/>
      <x:c r="I16" s="16"/>
      <x:c r="J16" s="12"/>
      <x:c r="K16" s="12"/>
      <x:c r="L16" s="12"/>
      <x:c r="M16" s="12"/>
      <x:c r="N16" s="12"/>
      <x:c r="O16" s="12"/>
      <x:c r="P16" s="12"/>
      <x:c r="Q16" s="16"/>
      <x:c r="R16" s="18"/>
      <x:c r="S16" s="18"/>
      <x:c r="T16" s="12" t="n">
        <x:v>220</x:v>
      </x:c>
      <x:c r="U16" s="20" t="n">
        <x:f>IFERROR(INDEX('Role Cost Assumptions'!$B$2:$B$10,MATCH(C16,'Role Cost Assumptions'!$A$2:$A$10,0)),25)</x:f>
        <x:v>25</x:v>
      </x:c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</x:row>
    <x:row r="17">
      <x:c r="A17" s="12" t="str">
        <x:v>OBS-016</x:v>
      </x:c>
      <x:c r="B17" s="14"/>
      <x:c r="C17" s="12"/>
      <x:c r="D17" s="12"/>
      <x:c r="E17" s="12"/>
      <x:c r="F17" s="12"/>
      <x:c r="G17" s="12"/>
      <x:c r="H17" s="16"/>
      <x:c r="I17" s="16"/>
      <x:c r="J17" s="12"/>
      <x:c r="K17" s="12"/>
      <x:c r="L17" s="12"/>
      <x:c r="M17" s="12"/>
      <x:c r="N17" s="12"/>
      <x:c r="O17" s="12"/>
      <x:c r="P17" s="12"/>
      <x:c r="Q17" s="16"/>
      <x:c r="R17" s="18"/>
      <x:c r="S17" s="18"/>
      <x:c r="T17" s="12" t="n">
        <x:v>220</x:v>
      </x:c>
      <x:c r="U17" s="20" t="n">
        <x:f>IFERROR(INDEX('Role Cost Assumptions'!$B$2:$B$10,MATCH(C17,'Role Cost Assumptions'!$A$2:$A$10,0)),25)</x:f>
        <x:v>25</x:v>
      </x:c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</x:row>
    <x:row r="18">
      <x:c r="A18" s="12" t="str">
        <x:v>OBS-017</x:v>
      </x:c>
      <x:c r="B18" s="14"/>
      <x:c r="C18" s="12"/>
      <x:c r="D18" s="12"/>
      <x:c r="E18" s="12"/>
      <x:c r="F18" s="12"/>
      <x:c r="G18" s="12"/>
      <x:c r="H18" s="16"/>
      <x:c r="I18" s="16"/>
      <x:c r="J18" s="12"/>
      <x:c r="K18" s="12"/>
      <x:c r="L18" s="12"/>
      <x:c r="M18" s="12"/>
      <x:c r="N18" s="12"/>
      <x:c r="O18" s="12"/>
      <x:c r="P18" s="12"/>
      <x:c r="Q18" s="16"/>
      <x:c r="R18" s="18"/>
      <x:c r="S18" s="18"/>
      <x:c r="T18" s="12" t="n">
        <x:v>220</x:v>
      </x:c>
      <x:c r="U18" s="20" t="n">
        <x:f>IFERROR(INDEX('Role Cost Assumptions'!$B$2:$B$10,MATCH(C18,'Role Cost Assumptions'!$A$2:$A$10,0)),25)</x:f>
        <x:v>25</x:v>
      </x:c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</x:row>
    <x:row r="19">
      <x:c r="A19" s="12" t="str">
        <x:v>OBS-018</x:v>
      </x:c>
      <x:c r="B19" s="14"/>
      <x:c r="C19" s="12"/>
      <x:c r="D19" s="12"/>
      <x:c r="E19" s="12"/>
      <x:c r="F19" s="12"/>
      <x:c r="G19" s="12"/>
      <x:c r="H19" s="16"/>
      <x:c r="I19" s="16"/>
      <x:c r="J19" s="12"/>
      <x:c r="K19" s="12"/>
      <x:c r="L19" s="12"/>
      <x:c r="M19" s="12"/>
      <x:c r="N19" s="12"/>
      <x:c r="O19" s="12"/>
      <x:c r="P19" s="12"/>
      <x:c r="Q19" s="16"/>
      <x:c r="R19" s="18"/>
      <x:c r="S19" s="18"/>
      <x:c r="T19" s="12" t="n">
        <x:v>220</x:v>
      </x:c>
      <x:c r="U19" s="20" t="n">
        <x:f>IFERROR(INDEX('Role Cost Assumptions'!$B$2:$B$10,MATCH(C19,'Role Cost Assumptions'!$A$2:$A$10,0)),25)</x:f>
        <x:v>25</x:v>
      </x:c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</x:row>
    <x:row r="20">
      <x:c r="A20" s="12" t="str">
        <x:v>OBS-019</x:v>
      </x:c>
      <x:c r="B20" s="14"/>
      <x:c r="C20" s="12"/>
      <x:c r="D20" s="12"/>
      <x:c r="E20" s="12"/>
      <x:c r="F20" s="12"/>
      <x:c r="G20" s="12"/>
      <x:c r="H20" s="16"/>
      <x:c r="I20" s="16"/>
      <x:c r="J20" s="12"/>
      <x:c r="K20" s="12"/>
      <x:c r="L20" s="12"/>
      <x:c r="M20" s="12"/>
      <x:c r="N20" s="12"/>
      <x:c r="O20" s="12"/>
      <x:c r="P20" s="12"/>
      <x:c r="Q20" s="16"/>
      <x:c r="R20" s="18"/>
      <x:c r="S20" s="18"/>
      <x:c r="T20" s="12" t="n">
        <x:v>220</x:v>
      </x:c>
      <x:c r="U20" s="20" t="n">
        <x:f>IFERROR(INDEX('Role Cost Assumptions'!$B$2:$B$10,MATCH(C20,'Role Cost Assumptions'!$A$2:$A$10,0)),25)</x:f>
        <x:v>25</x:v>
      </x:c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</x:row>
    <x:row r="21">
      <x:c r="A21" s="12" t="str">
        <x:v>OBS-020</x:v>
      </x:c>
      <x:c r="B21" s="14"/>
      <x:c r="C21" s="12"/>
      <x:c r="D21" s="12"/>
      <x:c r="E21" s="12"/>
      <x:c r="F21" s="12"/>
      <x:c r="G21" s="12"/>
      <x:c r="H21" s="16"/>
      <x:c r="I21" s="16"/>
      <x:c r="J21" s="12"/>
      <x:c r="K21" s="12"/>
      <x:c r="L21" s="12"/>
      <x:c r="M21" s="12"/>
      <x:c r="N21" s="12"/>
      <x:c r="O21" s="12"/>
      <x:c r="P21" s="12"/>
      <x:c r="Q21" s="16"/>
      <x:c r="R21" s="18"/>
      <x:c r="S21" s="18"/>
      <x:c r="T21" s="12" t="n">
        <x:v>220</x:v>
      </x:c>
      <x:c r="U21" s="20" t="n">
        <x:f>IFERROR(INDEX('Role Cost Assumptions'!$B$2:$B$10,MATCH(C21,'Role Cost Assumptions'!$A$2:$A$10,0)),25)</x:f>
        <x:v>25</x:v>
      </x:c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</x:row>
    <x:row r="22">
      <x:c r="A22" s="12" t="str">
        <x:v>OBS-021</x:v>
      </x:c>
      <x:c r="B22" s="14"/>
      <x:c r="C22" s="12"/>
      <x:c r="D22" s="12"/>
      <x:c r="E22" s="12"/>
      <x:c r="F22" s="12"/>
      <x:c r="G22" s="12"/>
      <x:c r="H22" s="16"/>
      <x:c r="I22" s="16"/>
      <x:c r="J22" s="12"/>
      <x:c r="K22" s="12"/>
      <x:c r="L22" s="12"/>
      <x:c r="M22" s="12"/>
      <x:c r="N22" s="12"/>
      <x:c r="O22" s="12"/>
      <x:c r="P22" s="12"/>
      <x:c r="Q22" s="16"/>
      <x:c r="R22" s="18"/>
      <x:c r="S22" s="18"/>
      <x:c r="T22" s="12" t="n">
        <x:v>220</x:v>
      </x:c>
      <x:c r="U22" s="20" t="n">
        <x:f>IFERROR(INDEX('Role Cost Assumptions'!$B$2:$B$10,MATCH(C22,'Role Cost Assumptions'!$A$2:$A$10,0)),25)</x:f>
        <x:v>25</x:v>
      </x:c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</x:row>
    <x:row r="23">
      <x:c r="A23" s="12" t="str">
        <x:v>OBS-022</x:v>
      </x:c>
      <x:c r="B23" s="14"/>
      <x:c r="C23" s="12"/>
      <x:c r="D23" s="12"/>
      <x:c r="E23" s="12"/>
      <x:c r="F23" s="12"/>
      <x:c r="G23" s="12"/>
      <x:c r="H23" s="16"/>
      <x:c r="I23" s="16"/>
      <x:c r="J23" s="12"/>
      <x:c r="K23" s="12"/>
      <x:c r="L23" s="12"/>
      <x:c r="M23" s="12"/>
      <x:c r="N23" s="12"/>
      <x:c r="O23" s="12"/>
      <x:c r="P23" s="12"/>
      <x:c r="Q23" s="16"/>
      <x:c r="R23" s="18"/>
      <x:c r="S23" s="18"/>
      <x:c r="T23" s="12" t="n">
        <x:v>220</x:v>
      </x:c>
      <x:c r="U23" s="20" t="n">
        <x:f>IFERROR(INDEX('Role Cost Assumptions'!$B$2:$B$10,MATCH(C23,'Role Cost Assumptions'!$A$2:$A$10,0)),25)</x:f>
        <x:v>25</x:v>
      </x:c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</x:row>
    <x:row r="24">
      <x:c r="A24" s="12" t="str">
        <x:v>OBS-023</x:v>
      </x:c>
      <x:c r="B24" s="14"/>
      <x:c r="C24" s="12"/>
      <x:c r="D24" s="12"/>
      <x:c r="E24" s="12"/>
      <x:c r="F24" s="12"/>
      <x:c r="G24" s="12"/>
      <x:c r="H24" s="16"/>
      <x:c r="I24" s="16"/>
      <x:c r="J24" s="12"/>
      <x:c r="K24" s="12"/>
      <x:c r="L24" s="12"/>
      <x:c r="M24" s="12"/>
      <x:c r="N24" s="12"/>
      <x:c r="O24" s="12"/>
      <x:c r="P24" s="12"/>
      <x:c r="Q24" s="16"/>
      <x:c r="R24" s="18"/>
      <x:c r="S24" s="18"/>
      <x:c r="T24" s="12" t="n">
        <x:v>220</x:v>
      </x:c>
      <x:c r="U24" s="20" t="n">
        <x:f>IFERROR(INDEX('Role Cost Assumptions'!$B$2:$B$10,MATCH(C24,'Role Cost Assumptions'!$A$2:$A$10,0)),25)</x:f>
        <x:v>25</x:v>
      </x:c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</x:row>
    <x:row r="25">
      <x:c r="A25" s="12" t="str">
        <x:v>OBS-024</x:v>
      </x:c>
      <x:c r="B25" s="14"/>
      <x:c r="C25" s="12"/>
      <x:c r="D25" s="12"/>
      <x:c r="E25" s="12"/>
      <x:c r="F25" s="12"/>
      <x:c r="G25" s="12"/>
      <x:c r="H25" s="16"/>
      <x:c r="I25" s="16"/>
      <x:c r="J25" s="12"/>
      <x:c r="K25" s="12"/>
      <x:c r="L25" s="12"/>
      <x:c r="M25" s="12"/>
      <x:c r="N25" s="12"/>
      <x:c r="O25" s="12"/>
      <x:c r="P25" s="12"/>
      <x:c r="Q25" s="16"/>
      <x:c r="R25" s="18"/>
      <x:c r="S25" s="18"/>
      <x:c r="T25" s="12" t="n">
        <x:v>220</x:v>
      </x:c>
      <x:c r="U25" s="20" t="n">
        <x:f>IFERROR(INDEX('Role Cost Assumptions'!$B$2:$B$10,MATCH(C25,'Role Cost Assumptions'!$A$2:$A$10,0)),25)</x:f>
        <x:v>25</x:v>
      </x:c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</x:row>
    <x:row r="26">
      <x:c r="A26" s="12" t="str">
        <x:v>OBS-025</x:v>
      </x:c>
      <x:c r="B26" s="14"/>
      <x:c r="C26" s="12"/>
      <x:c r="D26" s="12"/>
      <x:c r="E26" s="12"/>
      <x:c r="F26" s="12"/>
      <x:c r="G26" s="12"/>
      <x:c r="H26" s="16"/>
      <x:c r="I26" s="16"/>
      <x:c r="J26" s="12"/>
      <x:c r="K26" s="12"/>
      <x:c r="L26" s="12"/>
      <x:c r="M26" s="12"/>
      <x:c r="N26" s="12"/>
      <x:c r="O26" s="12"/>
      <x:c r="P26" s="12"/>
      <x:c r="Q26" s="16"/>
      <x:c r="R26" s="18"/>
      <x:c r="S26" s="18"/>
      <x:c r="T26" s="12" t="n">
        <x:v>220</x:v>
      </x:c>
      <x:c r="U26" s="20" t="n">
        <x:f>IFERROR(INDEX('Role Cost Assumptions'!$B$2:$B$10,MATCH(C26,'Role Cost Assumptions'!$A$2:$A$10,0)),25)</x:f>
        <x:v>25</x:v>
      </x:c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</x:row>
    <x:row r="27">
      <x:c r="A27" s="12" t="str">
        <x:v>OBS-026</x:v>
      </x:c>
      <x:c r="B27" s="14"/>
      <x:c r="C27" s="12"/>
      <x:c r="D27" s="12"/>
      <x:c r="E27" s="12"/>
      <x:c r="F27" s="12"/>
      <x:c r="G27" s="12"/>
      <x:c r="H27" s="16"/>
      <x:c r="I27" s="16"/>
      <x:c r="J27" s="12"/>
      <x:c r="K27" s="12"/>
      <x:c r="L27" s="12"/>
      <x:c r="M27" s="12"/>
      <x:c r="N27" s="12"/>
      <x:c r="O27" s="12"/>
      <x:c r="P27" s="12"/>
      <x:c r="Q27" s="16"/>
      <x:c r="R27" s="18"/>
      <x:c r="S27" s="18"/>
      <x:c r="T27" s="12" t="n">
        <x:v>220</x:v>
      </x:c>
      <x:c r="U27" s="20" t="n">
        <x:f>IFERROR(INDEX('Role Cost Assumptions'!$B$2:$B$10,MATCH(C27,'Role Cost Assumptions'!$A$2:$A$10,0)),25)</x:f>
        <x:v>25</x:v>
      </x:c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</x:row>
    <x:row r="28">
      <x:c r="A28" s="12" t="str">
        <x:v>OBS-027</x:v>
      </x:c>
      <x:c r="B28" s="14"/>
      <x:c r="C28" s="12"/>
      <x:c r="D28" s="12"/>
      <x:c r="E28" s="12"/>
      <x:c r="F28" s="12"/>
      <x:c r="G28" s="12"/>
      <x:c r="H28" s="16"/>
      <x:c r="I28" s="16"/>
      <x:c r="J28" s="12"/>
      <x:c r="K28" s="12"/>
      <x:c r="L28" s="12"/>
      <x:c r="M28" s="12"/>
      <x:c r="N28" s="12"/>
      <x:c r="O28" s="12"/>
      <x:c r="P28" s="12"/>
      <x:c r="Q28" s="16"/>
      <x:c r="R28" s="18"/>
      <x:c r="S28" s="18"/>
      <x:c r="T28" s="12" t="n">
        <x:v>220</x:v>
      </x:c>
      <x:c r="U28" s="20" t="n">
        <x:f>IFERROR(INDEX('Role Cost Assumptions'!$B$2:$B$10,MATCH(C28,'Role Cost Assumptions'!$A$2:$A$10,0)),25)</x:f>
        <x:v>25</x:v>
      </x:c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</x:row>
    <x:row r="29">
      <x:c r="A29" s="12" t="str">
        <x:v>OBS-028</x:v>
      </x:c>
      <x:c r="B29" s="14"/>
      <x:c r="C29" s="12"/>
      <x:c r="D29" s="12"/>
      <x:c r="E29" s="12"/>
      <x:c r="F29" s="12"/>
      <x:c r="G29" s="12"/>
      <x:c r="H29" s="16"/>
      <x:c r="I29" s="16"/>
      <x:c r="J29" s="12"/>
      <x:c r="K29" s="12"/>
      <x:c r="L29" s="12"/>
      <x:c r="M29" s="12"/>
      <x:c r="N29" s="12"/>
      <x:c r="O29" s="12"/>
      <x:c r="P29" s="12"/>
      <x:c r="Q29" s="16"/>
      <x:c r="R29" s="18"/>
      <x:c r="S29" s="18"/>
      <x:c r="T29" s="12" t="n">
        <x:v>220</x:v>
      </x:c>
      <x:c r="U29" s="20" t="n">
        <x:f>IFERROR(INDEX('Role Cost Assumptions'!$B$2:$B$10,MATCH(C29,'Role Cost Assumptions'!$A$2:$A$10,0)),25)</x:f>
        <x:v>25</x:v>
      </x:c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</x:row>
    <x:row r="30">
      <x:c r="A30" s="12" t="str">
        <x:v>OBS-029</x:v>
      </x:c>
      <x:c r="B30" s="14"/>
      <x:c r="C30" s="12"/>
      <x:c r="D30" s="12"/>
      <x:c r="E30" s="12"/>
      <x:c r="F30" s="12"/>
      <x:c r="G30" s="12"/>
      <x:c r="H30" s="16"/>
      <x:c r="I30" s="16"/>
      <x:c r="J30" s="12"/>
      <x:c r="K30" s="12"/>
      <x:c r="L30" s="12"/>
      <x:c r="M30" s="12"/>
      <x:c r="N30" s="12"/>
      <x:c r="O30" s="12"/>
      <x:c r="P30" s="12"/>
      <x:c r="Q30" s="16"/>
      <x:c r="R30" s="18"/>
      <x:c r="S30" s="18"/>
      <x:c r="T30" s="12" t="n">
        <x:v>220</x:v>
      </x:c>
      <x:c r="U30" s="20" t="n">
        <x:f>IFERROR(INDEX('Role Cost Assumptions'!$B$2:$B$10,MATCH(C30,'Role Cost Assumptions'!$A$2:$A$10,0)),25)</x:f>
        <x:v>25</x:v>
      </x:c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</x:row>
    <x:row r="31">
      <x:c r="A31" s="12" t="str">
        <x:v>OBS-030</x:v>
      </x:c>
      <x:c r="B31" s="14"/>
      <x:c r="C31" s="12"/>
      <x:c r="D31" s="12"/>
      <x:c r="E31" s="12"/>
      <x:c r="F31" s="12"/>
      <x:c r="G31" s="12"/>
      <x:c r="H31" s="16"/>
      <x:c r="I31" s="16"/>
      <x:c r="J31" s="12"/>
      <x:c r="K31" s="12"/>
      <x:c r="L31" s="12"/>
      <x:c r="M31" s="12"/>
      <x:c r="N31" s="12"/>
      <x:c r="O31" s="12"/>
      <x:c r="P31" s="12"/>
      <x:c r="Q31" s="16"/>
      <x:c r="R31" s="18"/>
      <x:c r="S31" s="18"/>
      <x:c r="T31" s="12" t="n">
        <x:v>220</x:v>
      </x:c>
      <x:c r="U31" s="20" t="n">
        <x:f>IFERROR(INDEX('Role Cost Assumptions'!$B$2:$B$10,MATCH(C31,'Role Cost Assumptions'!$A$2:$A$10,0)),25)</x:f>
        <x:v>25</x:v>
      </x:c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</x:row>
    <x:row r="32">
      <x:c r="A32" s="12" t="str">
        <x:v>OBS-031</x:v>
      </x:c>
      <x:c r="B32" s="14"/>
      <x:c r="C32" s="12"/>
      <x:c r="D32" s="12"/>
      <x:c r="E32" s="12"/>
      <x:c r="F32" s="12"/>
      <x:c r="G32" s="12"/>
      <x:c r="H32" s="16"/>
      <x:c r="I32" s="16"/>
      <x:c r="J32" s="12"/>
      <x:c r="K32" s="12"/>
      <x:c r="L32" s="12"/>
      <x:c r="M32" s="12"/>
      <x:c r="N32" s="12"/>
      <x:c r="O32" s="12"/>
      <x:c r="P32" s="12"/>
      <x:c r="Q32" s="16"/>
      <x:c r="R32" s="18"/>
      <x:c r="S32" s="18"/>
      <x:c r="T32" s="12" t="n">
        <x:v>220</x:v>
      </x:c>
      <x:c r="U32" s="20" t="n">
        <x:f>IFERROR(INDEX('Role Cost Assumptions'!$B$2:$B$10,MATCH(C32,'Role Cost Assumptions'!$A$2:$A$10,0)),25)</x:f>
        <x:v>25</x:v>
      </x:c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</x:row>
    <x:row r="33">
      <x:c r="A33" s="12" t="str">
        <x:v>OBS-032</x:v>
      </x:c>
      <x:c r="B33" s="14"/>
      <x:c r="C33" s="12"/>
      <x:c r="D33" s="12"/>
      <x:c r="E33" s="12"/>
      <x:c r="F33" s="12"/>
      <x:c r="G33" s="12"/>
      <x:c r="H33" s="16"/>
      <x:c r="I33" s="16"/>
      <x:c r="J33" s="12"/>
      <x:c r="K33" s="12"/>
      <x:c r="L33" s="12"/>
      <x:c r="M33" s="12"/>
      <x:c r="N33" s="12"/>
      <x:c r="O33" s="12"/>
      <x:c r="P33" s="12"/>
      <x:c r="Q33" s="16"/>
      <x:c r="R33" s="18"/>
      <x:c r="S33" s="18"/>
      <x:c r="T33" s="12" t="n">
        <x:v>220</x:v>
      </x:c>
      <x:c r="U33" s="20" t="n">
        <x:f>IFERROR(INDEX('Role Cost Assumptions'!$B$2:$B$10,MATCH(C33,'Role Cost Assumptions'!$A$2:$A$10,0)),25)</x:f>
        <x:v>25</x:v>
      </x:c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</x:row>
    <x:row r="34">
      <x:c r="A34" s="12" t="str">
        <x:v>OBS-033</x:v>
      </x:c>
      <x:c r="B34" s="14"/>
      <x:c r="C34" s="12"/>
      <x:c r="D34" s="12"/>
      <x:c r="E34" s="12"/>
      <x:c r="F34" s="12"/>
      <x:c r="G34" s="12"/>
      <x:c r="H34" s="16"/>
      <x:c r="I34" s="16"/>
      <x:c r="J34" s="12"/>
      <x:c r="K34" s="12"/>
      <x:c r="L34" s="12"/>
      <x:c r="M34" s="12"/>
      <x:c r="N34" s="12"/>
      <x:c r="O34" s="12"/>
      <x:c r="P34" s="12"/>
      <x:c r="Q34" s="16"/>
      <x:c r="R34" s="18"/>
      <x:c r="S34" s="18"/>
      <x:c r="T34" s="12" t="n">
        <x:v>220</x:v>
      </x:c>
      <x:c r="U34" s="20" t="n">
        <x:f>IFERROR(INDEX('Role Cost Assumptions'!$B$2:$B$10,MATCH(C34,'Role Cost Assumptions'!$A$2:$A$10,0)),25)</x:f>
        <x:v>25</x:v>
      </x:c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</x:row>
    <x:row r="35">
      <x:c r="A35" s="12" t="str">
        <x:v>OBS-034</x:v>
      </x:c>
      <x:c r="B35" s="14"/>
      <x:c r="C35" s="12"/>
      <x:c r="D35" s="12"/>
      <x:c r="E35" s="12"/>
      <x:c r="F35" s="12"/>
      <x:c r="G35" s="12"/>
      <x:c r="H35" s="16"/>
      <x:c r="I35" s="16"/>
      <x:c r="J35" s="12"/>
      <x:c r="K35" s="12"/>
      <x:c r="L35" s="12"/>
      <x:c r="M35" s="12"/>
      <x:c r="N35" s="12"/>
      <x:c r="O35" s="12"/>
      <x:c r="P35" s="12"/>
      <x:c r="Q35" s="16"/>
      <x:c r="R35" s="18"/>
      <x:c r="S35" s="18"/>
      <x:c r="T35" s="12" t="n">
        <x:v>220</x:v>
      </x:c>
      <x:c r="U35" s="20" t="n">
        <x:f>IFERROR(INDEX('Role Cost Assumptions'!$B$2:$B$10,MATCH(C35,'Role Cost Assumptions'!$A$2:$A$10,0)),25)</x:f>
        <x:v>25</x:v>
      </x:c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</x:row>
    <x:row r="36">
      <x:c r="A36" s="12" t="str">
        <x:v>OBS-035</x:v>
      </x:c>
      <x:c r="B36" s="14"/>
      <x:c r="C36" s="12"/>
      <x:c r="D36" s="12"/>
      <x:c r="E36" s="12"/>
      <x:c r="F36" s="12"/>
      <x:c r="G36" s="12"/>
      <x:c r="H36" s="16"/>
      <x:c r="I36" s="16"/>
      <x:c r="J36" s="12"/>
      <x:c r="K36" s="12"/>
      <x:c r="L36" s="12"/>
      <x:c r="M36" s="12"/>
      <x:c r="N36" s="12"/>
      <x:c r="O36" s="12"/>
      <x:c r="P36" s="12"/>
      <x:c r="Q36" s="16"/>
      <x:c r="R36" s="18"/>
      <x:c r="S36" s="18"/>
      <x:c r="T36" s="12" t="n">
        <x:v>220</x:v>
      </x:c>
      <x:c r="U36" s="20" t="n">
        <x:f>IFERROR(INDEX('Role Cost Assumptions'!$B$2:$B$10,MATCH(C36,'Role Cost Assumptions'!$A$2:$A$10,0)),25)</x:f>
        <x:v>25</x:v>
      </x:c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</x:row>
    <x:row r="37">
      <x:c r="A37" s="12" t="str">
        <x:v>OBS-036</x:v>
      </x:c>
      <x:c r="B37" s="14"/>
      <x:c r="C37" s="12"/>
      <x:c r="D37" s="12"/>
      <x:c r="E37" s="12"/>
      <x:c r="F37" s="12"/>
      <x:c r="G37" s="12"/>
      <x:c r="H37" s="16"/>
      <x:c r="I37" s="16"/>
      <x:c r="J37" s="12"/>
      <x:c r="K37" s="12"/>
      <x:c r="L37" s="12"/>
      <x:c r="M37" s="12"/>
      <x:c r="N37" s="12"/>
      <x:c r="O37" s="12"/>
      <x:c r="P37" s="12"/>
      <x:c r="Q37" s="16"/>
      <x:c r="R37" s="18"/>
      <x:c r="S37" s="18"/>
      <x:c r="T37" s="12" t="n">
        <x:v>220</x:v>
      </x:c>
      <x:c r="U37" s="20" t="n">
        <x:f>IFERROR(INDEX('Role Cost Assumptions'!$B$2:$B$10,MATCH(C37,'Role Cost Assumptions'!$A$2:$A$10,0)),25)</x:f>
        <x:v>25</x:v>
      </x:c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</x:row>
    <x:row r="38">
      <x:c r="A38" s="12" t="str">
        <x:v>OBS-037</x:v>
      </x:c>
      <x:c r="B38" s="14"/>
      <x:c r="C38" s="12"/>
      <x:c r="D38" s="12"/>
      <x:c r="E38" s="12"/>
      <x:c r="F38" s="12"/>
      <x:c r="G38" s="12"/>
      <x:c r="H38" s="16"/>
      <x:c r="I38" s="16"/>
      <x:c r="J38" s="12"/>
      <x:c r="K38" s="12"/>
      <x:c r="L38" s="12"/>
      <x:c r="M38" s="12"/>
      <x:c r="N38" s="12"/>
      <x:c r="O38" s="12"/>
      <x:c r="P38" s="12"/>
      <x:c r="Q38" s="16"/>
      <x:c r="R38" s="18"/>
      <x:c r="S38" s="18"/>
      <x:c r="T38" s="12" t="n">
        <x:v>220</x:v>
      </x:c>
      <x:c r="U38" s="20" t="n">
        <x:f>IFERROR(INDEX('Role Cost Assumptions'!$B$2:$B$10,MATCH(C38,'Role Cost Assumptions'!$A$2:$A$10,0)),25)</x:f>
        <x:v>25</x:v>
      </x:c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</x:row>
    <x:row r="39">
      <x:c r="A39" s="12" t="str">
        <x:v>OBS-038</x:v>
      </x:c>
      <x:c r="B39" s="14"/>
      <x:c r="C39" s="12"/>
      <x:c r="D39" s="12"/>
      <x:c r="E39" s="12"/>
      <x:c r="F39" s="12"/>
      <x:c r="G39" s="12"/>
      <x:c r="H39" s="16"/>
      <x:c r="I39" s="16"/>
      <x:c r="J39" s="12"/>
      <x:c r="K39" s="12"/>
      <x:c r="L39" s="12"/>
      <x:c r="M39" s="12"/>
      <x:c r="N39" s="12"/>
      <x:c r="O39" s="12"/>
      <x:c r="P39" s="12"/>
      <x:c r="Q39" s="16"/>
      <x:c r="R39" s="18"/>
      <x:c r="S39" s="18"/>
      <x:c r="T39" s="12" t="n">
        <x:v>220</x:v>
      </x:c>
      <x:c r="U39" s="20" t="n">
        <x:f>IFERROR(INDEX('Role Cost Assumptions'!$B$2:$B$10,MATCH(C39,'Role Cost Assumptions'!$A$2:$A$10,0)),25)</x:f>
        <x:v>25</x:v>
      </x:c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</x:row>
    <x:row r="40">
      <x:c r="A40" s="12" t="str">
        <x:v>OBS-039</x:v>
      </x:c>
      <x:c r="B40" s="14"/>
      <x:c r="C40" s="12"/>
      <x:c r="D40" s="12"/>
      <x:c r="E40" s="12"/>
      <x:c r="F40" s="12"/>
      <x:c r="G40" s="12"/>
      <x:c r="H40" s="16"/>
      <x:c r="I40" s="16"/>
      <x:c r="J40" s="12"/>
      <x:c r="K40" s="12"/>
      <x:c r="L40" s="12"/>
      <x:c r="M40" s="12"/>
      <x:c r="N40" s="12"/>
      <x:c r="O40" s="12"/>
      <x:c r="P40" s="12"/>
      <x:c r="Q40" s="16"/>
      <x:c r="R40" s="18"/>
      <x:c r="S40" s="18"/>
      <x:c r="T40" s="12" t="n">
        <x:v>220</x:v>
      </x:c>
      <x:c r="U40" s="20" t="n">
        <x:f>IFERROR(INDEX('Role Cost Assumptions'!$B$2:$B$10,MATCH(C40,'Role Cost Assumptions'!$A$2:$A$10,0)),25)</x:f>
        <x:v>25</x:v>
      </x:c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</x:row>
    <x:row r="41">
      <x:c r="A41" s="12" t="str">
        <x:v>OBS-040</x:v>
      </x:c>
      <x:c r="B41" s="14"/>
      <x:c r="C41" s="12"/>
      <x:c r="D41" s="12"/>
      <x:c r="E41" s="12"/>
      <x:c r="F41" s="12"/>
      <x:c r="G41" s="12"/>
      <x:c r="H41" s="16"/>
      <x:c r="I41" s="16"/>
      <x:c r="J41" s="12"/>
      <x:c r="K41" s="12"/>
      <x:c r="L41" s="12"/>
      <x:c r="M41" s="12"/>
      <x:c r="N41" s="12"/>
      <x:c r="O41" s="12"/>
      <x:c r="P41" s="12"/>
      <x:c r="Q41" s="16"/>
      <x:c r="R41" s="18"/>
      <x:c r="S41" s="18"/>
      <x:c r="T41" s="12" t="n">
        <x:v>220</x:v>
      </x:c>
      <x:c r="U41" s="20" t="n">
        <x:f>IFERROR(INDEX('Role Cost Assumptions'!$B$2:$B$10,MATCH(C41,'Role Cost Assumptions'!$A$2:$A$10,0)),25)</x:f>
        <x:v>25</x:v>
      </x:c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</x:row>
    <x:row r="42">
      <x:c r="A42" s="12" t="str">
        <x:v>OBS-041</x:v>
      </x:c>
      <x:c r="B42" s="14"/>
      <x:c r="C42" s="12"/>
      <x:c r="D42" s="12"/>
      <x:c r="E42" s="12"/>
      <x:c r="F42" s="12"/>
      <x:c r="G42" s="12"/>
      <x:c r="H42" s="16"/>
      <x:c r="I42" s="16"/>
      <x:c r="J42" s="12"/>
      <x:c r="K42" s="12"/>
      <x:c r="L42" s="12"/>
      <x:c r="M42" s="12"/>
      <x:c r="N42" s="12"/>
      <x:c r="O42" s="12"/>
      <x:c r="P42" s="12"/>
      <x:c r="Q42" s="16"/>
      <x:c r="R42" s="18"/>
      <x:c r="S42" s="18"/>
      <x:c r="T42" s="12" t="n">
        <x:v>220</x:v>
      </x:c>
      <x:c r="U42" s="20" t="n">
        <x:f>IFERROR(INDEX('Role Cost Assumptions'!$B$2:$B$10,MATCH(C42,'Role Cost Assumptions'!$A$2:$A$10,0)),25)</x:f>
        <x:v>25</x:v>
      </x:c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</x:row>
    <x:row r="43">
      <x:c r="A43" s="12" t="str">
        <x:v>OBS-042</x:v>
      </x:c>
      <x:c r="B43" s="14"/>
      <x:c r="C43" s="12"/>
      <x:c r="D43" s="12"/>
      <x:c r="E43" s="12"/>
      <x:c r="F43" s="12"/>
      <x:c r="G43" s="12"/>
      <x:c r="H43" s="16"/>
      <x:c r="I43" s="16"/>
      <x:c r="J43" s="12"/>
      <x:c r="K43" s="12"/>
      <x:c r="L43" s="12"/>
      <x:c r="M43" s="12"/>
      <x:c r="N43" s="12"/>
      <x:c r="O43" s="12"/>
      <x:c r="P43" s="12"/>
      <x:c r="Q43" s="16"/>
      <x:c r="R43" s="18"/>
      <x:c r="S43" s="18"/>
      <x:c r="T43" s="12" t="n">
        <x:v>220</x:v>
      </x:c>
      <x:c r="U43" s="20" t="n">
        <x:f>IFERROR(INDEX('Role Cost Assumptions'!$B$2:$B$10,MATCH(C43,'Role Cost Assumptions'!$A$2:$A$10,0)),25)</x:f>
        <x:v>25</x:v>
      </x:c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</x:row>
    <x:row r="44">
      <x:c r="A44" s="12" t="str">
        <x:v>OBS-043</x:v>
      </x:c>
      <x:c r="B44" s="14"/>
      <x:c r="C44" s="12"/>
      <x:c r="D44" s="12"/>
      <x:c r="E44" s="12"/>
      <x:c r="F44" s="12"/>
      <x:c r="G44" s="12"/>
      <x:c r="H44" s="16"/>
      <x:c r="I44" s="16"/>
      <x:c r="J44" s="12"/>
      <x:c r="K44" s="12"/>
      <x:c r="L44" s="12"/>
      <x:c r="M44" s="12"/>
      <x:c r="N44" s="12"/>
      <x:c r="O44" s="12"/>
      <x:c r="P44" s="12"/>
      <x:c r="Q44" s="16"/>
      <x:c r="R44" s="18"/>
      <x:c r="S44" s="18"/>
      <x:c r="T44" s="12" t="n">
        <x:v>220</x:v>
      </x:c>
      <x:c r="U44" s="20" t="n">
        <x:f>IFERROR(INDEX('Role Cost Assumptions'!$B$2:$B$10,MATCH(C44,'Role Cost Assumptions'!$A$2:$A$10,0)),25)</x:f>
        <x:v>25</x:v>
      </x:c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</x:row>
    <x:row r="45">
      <x:c r="A45" s="12" t="str">
        <x:v>OBS-044</x:v>
      </x:c>
      <x:c r="B45" s="14"/>
      <x:c r="C45" s="12"/>
      <x:c r="D45" s="12"/>
      <x:c r="E45" s="12"/>
      <x:c r="F45" s="12"/>
      <x:c r="G45" s="12"/>
      <x:c r="H45" s="16"/>
      <x:c r="I45" s="16"/>
      <x:c r="J45" s="12"/>
      <x:c r="K45" s="12"/>
      <x:c r="L45" s="12"/>
      <x:c r="M45" s="12"/>
      <x:c r="N45" s="12"/>
      <x:c r="O45" s="12"/>
      <x:c r="P45" s="12"/>
      <x:c r="Q45" s="16"/>
      <x:c r="R45" s="18"/>
      <x:c r="S45" s="18"/>
      <x:c r="T45" s="12" t="n">
        <x:v>220</x:v>
      </x:c>
      <x:c r="U45" s="20" t="n">
        <x:f>IFERROR(INDEX('Role Cost Assumptions'!$B$2:$B$10,MATCH(C45,'Role Cost Assumptions'!$A$2:$A$10,0)),25)</x:f>
        <x:v>25</x:v>
      </x:c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</x:row>
    <x:row r="46">
      <x:c r="A46" s="12" t="str">
        <x:v>OBS-045</x:v>
      </x:c>
      <x:c r="B46" s="14"/>
      <x:c r="C46" s="12"/>
      <x:c r="D46" s="12"/>
      <x:c r="E46" s="12"/>
      <x:c r="F46" s="12"/>
      <x:c r="G46" s="12"/>
      <x:c r="H46" s="16"/>
      <x:c r="I46" s="16"/>
      <x:c r="J46" s="12"/>
      <x:c r="K46" s="12"/>
      <x:c r="L46" s="12"/>
      <x:c r="M46" s="12"/>
      <x:c r="N46" s="12"/>
      <x:c r="O46" s="12"/>
      <x:c r="P46" s="12"/>
      <x:c r="Q46" s="16"/>
      <x:c r="R46" s="18"/>
      <x:c r="S46" s="18"/>
      <x:c r="T46" s="12" t="n">
        <x:v>220</x:v>
      </x:c>
      <x:c r="U46" s="20" t="n">
        <x:f>IFERROR(INDEX('Role Cost Assumptions'!$B$2:$B$10,MATCH(C46,'Role Cost Assumptions'!$A$2:$A$10,0)),25)</x:f>
        <x:v>25</x:v>
      </x:c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</x:row>
    <x:row r="47">
      <x:c r="A47" s="12" t="str">
        <x:v>OBS-046</x:v>
      </x:c>
      <x:c r="B47" s="14"/>
      <x:c r="C47" s="12"/>
      <x:c r="D47" s="12"/>
      <x:c r="E47" s="12"/>
      <x:c r="F47" s="12"/>
      <x:c r="G47" s="12"/>
      <x:c r="H47" s="16"/>
      <x:c r="I47" s="16"/>
      <x:c r="J47" s="12"/>
      <x:c r="K47" s="12"/>
      <x:c r="L47" s="12"/>
      <x:c r="M47" s="12"/>
      <x:c r="N47" s="12"/>
      <x:c r="O47" s="12"/>
      <x:c r="P47" s="12"/>
      <x:c r="Q47" s="16"/>
      <x:c r="R47" s="18"/>
      <x:c r="S47" s="18"/>
      <x:c r="T47" s="12" t="n">
        <x:v>220</x:v>
      </x:c>
      <x:c r="U47" s="20" t="n">
        <x:f>IFERROR(INDEX('Role Cost Assumptions'!$B$2:$B$10,MATCH(C47,'Role Cost Assumptions'!$A$2:$A$10,0)),25)</x:f>
        <x:v>25</x:v>
      </x:c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</x:row>
    <x:row r="48">
      <x:c r="A48" s="12" t="str">
        <x:v>OBS-047</x:v>
      </x:c>
      <x:c r="B48" s="14"/>
      <x:c r="C48" s="12"/>
      <x:c r="D48" s="12"/>
      <x:c r="E48" s="12"/>
      <x:c r="F48" s="12"/>
      <x:c r="G48" s="12"/>
      <x:c r="H48" s="16"/>
      <x:c r="I48" s="16"/>
      <x:c r="J48" s="12"/>
      <x:c r="K48" s="12"/>
      <x:c r="L48" s="12"/>
      <x:c r="M48" s="12"/>
      <x:c r="N48" s="12"/>
      <x:c r="O48" s="12"/>
      <x:c r="P48" s="12"/>
      <x:c r="Q48" s="16"/>
      <x:c r="R48" s="18"/>
      <x:c r="S48" s="18"/>
      <x:c r="T48" s="12" t="n">
        <x:v>220</x:v>
      </x:c>
      <x:c r="U48" s="20" t="n">
        <x:f>IFERROR(INDEX('Role Cost Assumptions'!$B$2:$B$10,MATCH(C48,'Role Cost Assumptions'!$A$2:$A$10,0)),25)</x:f>
        <x:v>25</x:v>
      </x:c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</x:row>
    <x:row r="49">
      <x:c r="A49" s="12" t="str">
        <x:v>OBS-048</x:v>
      </x:c>
      <x:c r="B49" s="14"/>
      <x:c r="C49" s="12"/>
      <x:c r="D49" s="12"/>
      <x:c r="E49" s="12"/>
      <x:c r="F49" s="12"/>
      <x:c r="G49" s="12"/>
      <x:c r="H49" s="16"/>
      <x:c r="I49" s="16"/>
      <x:c r="J49" s="12"/>
      <x:c r="K49" s="12"/>
      <x:c r="L49" s="12"/>
      <x:c r="M49" s="12"/>
      <x:c r="N49" s="12"/>
      <x:c r="O49" s="12"/>
      <x:c r="P49" s="12"/>
      <x:c r="Q49" s="16"/>
      <x:c r="R49" s="18"/>
      <x:c r="S49" s="18"/>
      <x:c r="T49" s="12" t="n">
        <x:v>220</x:v>
      </x:c>
      <x:c r="U49" s="20" t="n">
        <x:f>IFERROR(INDEX('Role Cost Assumptions'!$B$2:$B$10,MATCH(C49,'Role Cost Assumptions'!$A$2:$A$10,0)),25)</x:f>
        <x:v>25</x:v>
      </x:c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</x:row>
    <x:row r="50">
      <x:c r="A50" s="12" t="str">
        <x:v>OBS-049</x:v>
      </x:c>
      <x:c r="B50" s="14"/>
      <x:c r="C50" s="12"/>
      <x:c r="D50" s="12"/>
      <x:c r="E50" s="12"/>
      <x:c r="F50" s="12"/>
      <x:c r="G50" s="12"/>
      <x:c r="H50" s="16"/>
      <x:c r="I50" s="16"/>
      <x:c r="J50" s="12"/>
      <x:c r="K50" s="12"/>
      <x:c r="L50" s="12"/>
      <x:c r="M50" s="12"/>
      <x:c r="N50" s="12"/>
      <x:c r="O50" s="12"/>
      <x:c r="P50" s="12"/>
      <x:c r="Q50" s="16"/>
      <x:c r="R50" s="18"/>
      <x:c r="S50" s="18"/>
      <x:c r="T50" s="12" t="n">
        <x:v>220</x:v>
      </x:c>
      <x:c r="U50" s="20" t="n">
        <x:f>IFERROR(INDEX('Role Cost Assumptions'!$B$2:$B$10,MATCH(C50,'Role Cost Assumptions'!$A$2:$A$10,0)),25)</x:f>
        <x:v>25</x:v>
      </x:c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</x:row>
    <x:row r="51">
      <x:c r="A51" s="12" t="str">
        <x:v>OBS-050</x:v>
      </x:c>
      <x:c r="B51" s="14"/>
      <x:c r="C51" s="12"/>
      <x:c r="D51" s="12"/>
      <x:c r="E51" s="12"/>
      <x:c r="F51" s="12"/>
      <x:c r="G51" s="12"/>
      <x:c r="H51" s="16"/>
      <x:c r="I51" s="16"/>
      <x:c r="J51" s="12"/>
      <x:c r="K51" s="12"/>
      <x:c r="L51" s="12"/>
      <x:c r="M51" s="12"/>
      <x:c r="N51" s="12"/>
      <x:c r="O51" s="12"/>
      <x:c r="P51" s="12"/>
      <x:c r="Q51" s="16"/>
      <x:c r="R51" s="18"/>
      <x:c r="S51" s="18"/>
      <x:c r="T51" s="12" t="n">
        <x:v>220</x:v>
      </x:c>
      <x:c r="U51" s="20" t="n">
        <x:f>IFERROR(INDEX('Role Cost Assumptions'!$B$2:$B$10,MATCH(C51,'Role Cost Assumptions'!$A$2:$A$10,0)),25)</x:f>
        <x:v>25</x:v>
      </x:c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</x:row>
    <x:row r="52">
      <x:c r="A52" s="12" t="str">
        <x:v>OBS-051</x:v>
      </x:c>
      <x:c r="B52" s="14"/>
      <x:c r="C52" s="12"/>
      <x:c r="D52" s="12"/>
      <x:c r="E52" s="12"/>
      <x:c r="F52" s="12"/>
      <x:c r="G52" s="12"/>
      <x:c r="H52" s="16"/>
      <x:c r="I52" s="16"/>
      <x:c r="J52" s="12"/>
      <x:c r="K52" s="12"/>
      <x:c r="L52" s="12"/>
      <x:c r="M52" s="12"/>
      <x:c r="N52" s="12"/>
      <x:c r="O52" s="12"/>
      <x:c r="P52" s="12"/>
      <x:c r="Q52" s="16"/>
      <x:c r="R52" s="18"/>
      <x:c r="S52" s="18"/>
      <x:c r="T52" s="12" t="n">
        <x:v>220</x:v>
      </x:c>
      <x:c r="U52" s="20" t="n">
        <x:f>IFERROR(INDEX('Role Cost Assumptions'!$B$2:$B$10,MATCH(C52,'Role Cost Assumptions'!$A$2:$A$10,0)),25)</x:f>
        <x:v>25</x:v>
      </x:c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</x:row>
    <x:row r="53">
      <x:c r="A53" s="12" t="str">
        <x:v>OBS-052</x:v>
      </x:c>
      <x:c r="B53" s="14"/>
      <x:c r="C53" s="12"/>
      <x:c r="D53" s="12"/>
      <x:c r="E53" s="12"/>
      <x:c r="F53" s="12"/>
      <x:c r="G53" s="12"/>
      <x:c r="H53" s="16"/>
      <x:c r="I53" s="16"/>
      <x:c r="J53" s="12"/>
      <x:c r="K53" s="12"/>
      <x:c r="L53" s="12"/>
      <x:c r="M53" s="12"/>
      <x:c r="N53" s="12"/>
      <x:c r="O53" s="12"/>
      <x:c r="P53" s="12"/>
      <x:c r="Q53" s="16"/>
      <x:c r="R53" s="18"/>
      <x:c r="S53" s="18"/>
      <x:c r="T53" s="12" t="n">
        <x:v>220</x:v>
      </x:c>
      <x:c r="U53" s="20" t="n">
        <x:f>IFERROR(INDEX('Role Cost Assumptions'!$B$2:$B$10,MATCH(C53,'Role Cost Assumptions'!$A$2:$A$10,0)),25)</x:f>
        <x:v>25</x:v>
      </x:c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</x:row>
    <x:row r="54">
      <x:c r="A54" s="12" t="str">
        <x:v>OBS-053</x:v>
      </x:c>
      <x:c r="B54" s="14"/>
      <x:c r="C54" s="12"/>
      <x:c r="D54" s="12"/>
      <x:c r="E54" s="12"/>
      <x:c r="F54" s="12"/>
      <x:c r="G54" s="12"/>
      <x:c r="H54" s="16"/>
      <x:c r="I54" s="16"/>
      <x:c r="J54" s="12"/>
      <x:c r="K54" s="12"/>
      <x:c r="L54" s="12"/>
      <x:c r="M54" s="12"/>
      <x:c r="N54" s="12"/>
      <x:c r="O54" s="12"/>
      <x:c r="P54" s="12"/>
      <x:c r="Q54" s="16"/>
      <x:c r="R54" s="18"/>
      <x:c r="S54" s="18"/>
      <x:c r="T54" s="12" t="n">
        <x:v>220</x:v>
      </x:c>
      <x:c r="U54" s="20" t="n">
        <x:f>IFERROR(INDEX('Role Cost Assumptions'!$B$2:$B$10,MATCH(C54,'Role Cost Assumptions'!$A$2:$A$10,0)),25)</x:f>
        <x:v>25</x:v>
      </x:c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</x:row>
    <x:row r="55">
      <x:c r="A55" s="12" t="str">
        <x:v>OBS-054</x:v>
      </x:c>
      <x:c r="B55" s="14"/>
      <x:c r="C55" s="12"/>
      <x:c r="D55" s="12"/>
      <x:c r="E55" s="12"/>
      <x:c r="F55" s="12"/>
      <x:c r="G55" s="12"/>
      <x:c r="H55" s="16"/>
      <x:c r="I55" s="16"/>
      <x:c r="J55" s="12"/>
      <x:c r="K55" s="12"/>
      <x:c r="L55" s="12"/>
      <x:c r="M55" s="12"/>
      <x:c r="N55" s="12"/>
      <x:c r="O55" s="12"/>
      <x:c r="P55" s="12"/>
      <x:c r="Q55" s="16"/>
      <x:c r="R55" s="18"/>
      <x:c r="S55" s="18"/>
      <x:c r="T55" s="12" t="n">
        <x:v>220</x:v>
      </x:c>
      <x:c r="U55" s="20" t="n">
        <x:f>IFERROR(INDEX('Role Cost Assumptions'!$B$2:$B$10,MATCH(C55,'Role Cost Assumptions'!$A$2:$A$10,0)),25)</x:f>
        <x:v>25</x:v>
      </x:c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</x:row>
    <x:row r="56">
      <x:c r="A56" s="12" t="str">
        <x:v>OBS-055</x:v>
      </x:c>
      <x:c r="B56" s="14"/>
      <x:c r="C56" s="12"/>
      <x:c r="D56" s="12"/>
      <x:c r="E56" s="12"/>
      <x:c r="F56" s="12"/>
      <x:c r="G56" s="12"/>
      <x:c r="H56" s="16"/>
      <x:c r="I56" s="16"/>
      <x:c r="J56" s="12"/>
      <x:c r="K56" s="12"/>
      <x:c r="L56" s="12"/>
      <x:c r="M56" s="12"/>
      <x:c r="N56" s="12"/>
      <x:c r="O56" s="12"/>
      <x:c r="P56" s="12"/>
      <x:c r="Q56" s="16"/>
      <x:c r="R56" s="18"/>
      <x:c r="S56" s="18"/>
      <x:c r="T56" s="12" t="n">
        <x:v>220</x:v>
      </x:c>
      <x:c r="U56" s="20" t="n">
        <x:f>IFERROR(INDEX('Role Cost Assumptions'!$B$2:$B$10,MATCH(C56,'Role Cost Assumptions'!$A$2:$A$10,0)),25)</x:f>
        <x:v>25</x:v>
      </x:c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</x:row>
    <x:row r="57">
      <x:c r="A57" s="12" t="str">
        <x:v>OBS-056</x:v>
      </x:c>
      <x:c r="B57" s="14"/>
      <x:c r="C57" s="12"/>
      <x:c r="D57" s="12"/>
      <x:c r="E57" s="12"/>
      <x:c r="F57" s="12"/>
      <x:c r="G57" s="12"/>
      <x:c r="H57" s="16"/>
      <x:c r="I57" s="16"/>
      <x:c r="J57" s="12"/>
      <x:c r="K57" s="12"/>
      <x:c r="L57" s="12"/>
      <x:c r="M57" s="12"/>
      <x:c r="N57" s="12"/>
      <x:c r="O57" s="12"/>
      <x:c r="P57" s="12"/>
      <x:c r="Q57" s="16"/>
      <x:c r="R57" s="18"/>
      <x:c r="S57" s="18"/>
      <x:c r="T57" s="12" t="n">
        <x:v>220</x:v>
      </x:c>
      <x:c r="U57" s="20" t="n">
        <x:f>IFERROR(INDEX('Role Cost Assumptions'!$B$2:$B$10,MATCH(C57,'Role Cost Assumptions'!$A$2:$A$10,0)),25)</x:f>
        <x:v>25</x:v>
      </x:c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</x:row>
    <x:row r="58">
      <x:c r="A58" s="12" t="str">
        <x:v>OBS-057</x:v>
      </x:c>
      <x:c r="B58" s="14"/>
      <x:c r="C58" s="12"/>
      <x:c r="D58" s="12"/>
      <x:c r="E58" s="12"/>
      <x:c r="F58" s="12"/>
      <x:c r="G58" s="12"/>
      <x:c r="H58" s="16"/>
      <x:c r="I58" s="16"/>
      <x:c r="J58" s="12"/>
      <x:c r="K58" s="12"/>
      <x:c r="L58" s="12"/>
      <x:c r="M58" s="12"/>
      <x:c r="N58" s="12"/>
      <x:c r="O58" s="12"/>
      <x:c r="P58" s="12"/>
      <x:c r="Q58" s="16"/>
      <x:c r="R58" s="18"/>
      <x:c r="S58" s="18"/>
      <x:c r="T58" s="12" t="n">
        <x:v>220</x:v>
      </x:c>
      <x:c r="U58" s="20" t="n">
        <x:f>IFERROR(INDEX('Role Cost Assumptions'!$B$2:$B$10,MATCH(C58,'Role Cost Assumptions'!$A$2:$A$10,0)),25)</x:f>
        <x:v>25</x:v>
      </x:c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</x:row>
    <x:row r="59">
      <x:c r="A59" s="12" t="str">
        <x:v>OBS-058</x:v>
      </x:c>
      <x:c r="B59" s="14"/>
      <x:c r="C59" s="12"/>
      <x:c r="D59" s="12"/>
      <x:c r="E59" s="12"/>
      <x:c r="F59" s="12"/>
      <x:c r="G59" s="12"/>
      <x:c r="H59" s="16"/>
      <x:c r="I59" s="16"/>
      <x:c r="J59" s="12"/>
      <x:c r="K59" s="12"/>
      <x:c r="L59" s="12"/>
      <x:c r="M59" s="12"/>
      <x:c r="N59" s="12"/>
      <x:c r="O59" s="12"/>
      <x:c r="P59" s="12"/>
      <x:c r="Q59" s="16"/>
      <x:c r="R59" s="18"/>
      <x:c r="S59" s="18"/>
      <x:c r="T59" s="12" t="n">
        <x:v>220</x:v>
      </x:c>
      <x:c r="U59" s="20" t="n">
        <x:f>IFERROR(INDEX('Role Cost Assumptions'!$B$2:$B$10,MATCH(C59,'Role Cost Assumptions'!$A$2:$A$10,0)),25)</x:f>
        <x:v>25</x:v>
      </x:c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</x:row>
    <x:row r="60">
      <x:c r="A60" s="12" t="str">
        <x:v>OBS-059</x:v>
      </x:c>
      <x:c r="B60" s="14"/>
      <x:c r="C60" s="12"/>
      <x:c r="D60" s="12"/>
      <x:c r="E60" s="12"/>
      <x:c r="F60" s="12"/>
      <x:c r="G60" s="12"/>
      <x:c r="H60" s="16"/>
      <x:c r="I60" s="16"/>
      <x:c r="J60" s="12"/>
      <x:c r="K60" s="12"/>
      <x:c r="L60" s="12"/>
      <x:c r="M60" s="12"/>
      <x:c r="N60" s="12"/>
      <x:c r="O60" s="12"/>
      <x:c r="P60" s="12"/>
      <x:c r="Q60" s="16"/>
      <x:c r="R60" s="18"/>
      <x:c r="S60" s="18"/>
      <x:c r="T60" s="12" t="n">
        <x:v>220</x:v>
      </x:c>
      <x:c r="U60" s="20" t="n">
        <x:f>IFERROR(INDEX('Role Cost Assumptions'!$B$2:$B$10,MATCH(C60,'Role Cost Assumptions'!$A$2:$A$10,0)),25)</x:f>
        <x:v>25</x:v>
      </x:c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</x:row>
    <x:row r="61">
      <x:c r="A61" s="12" t="str">
        <x:v>OBS-060</x:v>
      </x:c>
      <x:c r="B61" s="14"/>
      <x:c r="C61" s="12"/>
      <x:c r="D61" s="12"/>
      <x:c r="E61" s="12"/>
      <x:c r="F61" s="12"/>
      <x:c r="G61" s="12"/>
      <x:c r="H61" s="16"/>
      <x:c r="I61" s="16"/>
      <x:c r="J61" s="12"/>
      <x:c r="K61" s="12"/>
      <x:c r="L61" s="12"/>
      <x:c r="M61" s="12"/>
      <x:c r="N61" s="12"/>
      <x:c r="O61" s="12"/>
      <x:c r="P61" s="12"/>
      <x:c r="Q61" s="16"/>
      <x:c r="R61" s="18"/>
      <x:c r="S61" s="18"/>
      <x:c r="T61" s="12" t="n">
        <x:v>220</x:v>
      </x:c>
      <x:c r="U61" s="20" t="n">
        <x:f>IFERROR(INDEX('Role Cost Assumptions'!$B$2:$B$10,MATCH(C61,'Role Cost Assumptions'!$A$2:$A$10,0)),25)</x:f>
        <x:v>25</x:v>
      </x:c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</x:row>
    <x:row r="62">
      <x:c r="A62" s="12" t="str">
        <x:v>OBS-061</x:v>
      </x:c>
      <x:c r="B62" s="14"/>
      <x:c r="C62" s="12"/>
      <x:c r="D62" s="12"/>
      <x:c r="E62" s="12"/>
      <x:c r="F62" s="12"/>
      <x:c r="G62" s="12"/>
      <x:c r="H62" s="16"/>
      <x:c r="I62" s="16"/>
      <x:c r="J62" s="12"/>
      <x:c r="K62" s="12"/>
      <x:c r="L62" s="12"/>
      <x:c r="M62" s="12"/>
      <x:c r="N62" s="12"/>
      <x:c r="O62" s="12"/>
      <x:c r="P62" s="12"/>
      <x:c r="Q62" s="16"/>
      <x:c r="R62" s="18"/>
      <x:c r="S62" s="18"/>
      <x:c r="T62" s="12" t="n">
        <x:v>220</x:v>
      </x:c>
      <x:c r="U62" s="20" t="n">
        <x:f>IFERROR(INDEX('Role Cost Assumptions'!$B$2:$B$10,MATCH(C62,'Role Cost Assumptions'!$A$2:$A$10,0)),25)</x:f>
        <x:v>25</x:v>
      </x:c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</x:row>
    <x:row r="63">
      <x:c r="A63" s="12" t="str">
        <x:v>OBS-062</x:v>
      </x:c>
      <x:c r="B63" s="14"/>
      <x:c r="C63" s="12"/>
      <x:c r="D63" s="12"/>
      <x:c r="E63" s="12"/>
      <x:c r="F63" s="12"/>
      <x:c r="G63" s="12"/>
      <x:c r="H63" s="16"/>
      <x:c r="I63" s="16"/>
      <x:c r="J63" s="12"/>
      <x:c r="K63" s="12"/>
      <x:c r="L63" s="12"/>
      <x:c r="M63" s="12"/>
      <x:c r="N63" s="12"/>
      <x:c r="O63" s="12"/>
      <x:c r="P63" s="12"/>
      <x:c r="Q63" s="16"/>
      <x:c r="R63" s="18"/>
      <x:c r="S63" s="18"/>
      <x:c r="T63" s="12" t="n">
        <x:v>220</x:v>
      </x:c>
      <x:c r="U63" s="20" t="n">
        <x:f>IFERROR(INDEX('Role Cost Assumptions'!$B$2:$B$10,MATCH(C63,'Role Cost Assumptions'!$A$2:$A$10,0)),25)</x:f>
        <x:v>25</x:v>
      </x:c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</x:row>
    <x:row r="64">
      <x:c r="A64" s="12" t="str">
        <x:v>OBS-063</x:v>
      </x:c>
      <x:c r="B64" s="14"/>
      <x:c r="C64" s="12"/>
      <x:c r="D64" s="12"/>
      <x:c r="E64" s="12"/>
      <x:c r="F64" s="12"/>
      <x:c r="G64" s="12"/>
      <x:c r="H64" s="16"/>
      <x:c r="I64" s="16"/>
      <x:c r="J64" s="12"/>
      <x:c r="K64" s="12"/>
      <x:c r="L64" s="12"/>
      <x:c r="M64" s="12"/>
      <x:c r="N64" s="12"/>
      <x:c r="O64" s="12"/>
      <x:c r="P64" s="12"/>
      <x:c r="Q64" s="16"/>
      <x:c r="R64" s="18"/>
      <x:c r="S64" s="18"/>
      <x:c r="T64" s="12" t="n">
        <x:v>220</x:v>
      </x:c>
      <x:c r="U64" s="20" t="n">
        <x:f>IFERROR(INDEX('Role Cost Assumptions'!$B$2:$B$10,MATCH(C64,'Role Cost Assumptions'!$A$2:$A$10,0)),25)</x:f>
        <x:v>25</x:v>
      </x:c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</x:row>
    <x:row r="65">
      <x:c r="A65" s="12" t="str">
        <x:v>OBS-064</x:v>
      </x:c>
      <x:c r="B65" s="14"/>
      <x:c r="C65" s="12"/>
      <x:c r="D65" s="12"/>
      <x:c r="E65" s="12"/>
      <x:c r="F65" s="12"/>
      <x:c r="G65" s="12"/>
      <x:c r="H65" s="16"/>
      <x:c r="I65" s="16"/>
      <x:c r="J65" s="12"/>
      <x:c r="K65" s="12"/>
      <x:c r="L65" s="12"/>
      <x:c r="M65" s="12"/>
      <x:c r="N65" s="12"/>
      <x:c r="O65" s="12"/>
      <x:c r="P65" s="12"/>
      <x:c r="Q65" s="16"/>
      <x:c r="R65" s="18"/>
      <x:c r="S65" s="18"/>
      <x:c r="T65" s="12" t="n">
        <x:v>220</x:v>
      </x:c>
      <x:c r="U65" s="20" t="n">
        <x:f>IFERROR(INDEX('Role Cost Assumptions'!$B$2:$B$10,MATCH(C65,'Role Cost Assumptions'!$A$2:$A$10,0)),25)</x:f>
        <x:v>25</x:v>
      </x:c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</x:row>
    <x:row r="66">
      <x:c r="A66" s="12" t="str">
        <x:v>OBS-065</x:v>
      </x:c>
      <x:c r="B66" s="14"/>
      <x:c r="C66" s="12"/>
      <x:c r="D66" s="12"/>
      <x:c r="E66" s="12"/>
      <x:c r="F66" s="12"/>
      <x:c r="G66" s="12"/>
      <x:c r="H66" s="16"/>
      <x:c r="I66" s="16"/>
      <x:c r="J66" s="12"/>
      <x:c r="K66" s="12"/>
      <x:c r="L66" s="12"/>
      <x:c r="M66" s="12"/>
      <x:c r="N66" s="12"/>
      <x:c r="O66" s="12"/>
      <x:c r="P66" s="12"/>
      <x:c r="Q66" s="16"/>
      <x:c r="R66" s="18"/>
      <x:c r="S66" s="18"/>
      <x:c r="T66" s="12" t="n">
        <x:v>220</x:v>
      </x:c>
      <x:c r="U66" s="20" t="n">
        <x:f>IFERROR(INDEX('Role Cost Assumptions'!$B$2:$B$10,MATCH(C66,'Role Cost Assumptions'!$A$2:$A$10,0)),25)</x:f>
        <x:v>25</x:v>
      </x:c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</x:row>
    <x:row r="67">
      <x:c r="A67" s="12" t="str">
        <x:v>OBS-066</x:v>
      </x:c>
      <x:c r="B67" s="14"/>
      <x:c r="C67" s="12"/>
      <x:c r="D67" s="12"/>
      <x:c r="E67" s="12"/>
      <x:c r="F67" s="12"/>
      <x:c r="G67" s="12"/>
      <x:c r="H67" s="16"/>
      <x:c r="I67" s="16"/>
      <x:c r="J67" s="12"/>
      <x:c r="K67" s="12"/>
      <x:c r="L67" s="12"/>
      <x:c r="M67" s="12"/>
      <x:c r="N67" s="12"/>
      <x:c r="O67" s="12"/>
      <x:c r="P67" s="12"/>
      <x:c r="Q67" s="16"/>
      <x:c r="R67" s="18"/>
      <x:c r="S67" s="18"/>
      <x:c r="T67" s="12" t="n">
        <x:v>220</x:v>
      </x:c>
      <x:c r="U67" s="20" t="n">
        <x:f>IFERROR(INDEX('Role Cost Assumptions'!$B$2:$B$10,MATCH(C67,'Role Cost Assumptions'!$A$2:$A$10,0)),25)</x:f>
        <x:v>25</x:v>
      </x:c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</x:row>
    <x:row r="68">
      <x:c r="A68" s="12" t="str">
        <x:v>OBS-067</x:v>
      </x:c>
      <x:c r="B68" s="14"/>
      <x:c r="C68" s="12"/>
      <x:c r="D68" s="12"/>
      <x:c r="E68" s="12"/>
      <x:c r="F68" s="12"/>
      <x:c r="G68" s="12"/>
      <x:c r="H68" s="16"/>
      <x:c r="I68" s="16"/>
      <x:c r="J68" s="12"/>
      <x:c r="K68" s="12"/>
      <x:c r="L68" s="12"/>
      <x:c r="M68" s="12"/>
      <x:c r="N68" s="12"/>
      <x:c r="O68" s="12"/>
      <x:c r="P68" s="12"/>
      <x:c r="Q68" s="16"/>
      <x:c r="R68" s="18"/>
      <x:c r="S68" s="18"/>
      <x:c r="T68" s="12" t="n">
        <x:v>220</x:v>
      </x:c>
      <x:c r="U68" s="20" t="n">
        <x:f>IFERROR(INDEX('Role Cost Assumptions'!$B$2:$B$10,MATCH(C68,'Role Cost Assumptions'!$A$2:$A$10,0)),25)</x:f>
        <x:v>25</x:v>
      </x:c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</x:row>
    <x:row r="69">
      <x:c r="A69" s="12" t="str">
        <x:v>OBS-068</x:v>
      </x:c>
      <x:c r="B69" s="14"/>
      <x:c r="C69" s="12"/>
      <x:c r="D69" s="12"/>
      <x:c r="E69" s="12"/>
      <x:c r="F69" s="12"/>
      <x:c r="G69" s="12"/>
      <x:c r="H69" s="16"/>
      <x:c r="I69" s="16"/>
      <x:c r="J69" s="12"/>
      <x:c r="K69" s="12"/>
      <x:c r="L69" s="12"/>
      <x:c r="M69" s="12"/>
      <x:c r="N69" s="12"/>
      <x:c r="O69" s="12"/>
      <x:c r="P69" s="12"/>
      <x:c r="Q69" s="16"/>
      <x:c r="R69" s="18"/>
      <x:c r="S69" s="18"/>
      <x:c r="T69" s="12" t="n">
        <x:v>220</x:v>
      </x:c>
      <x:c r="U69" s="20" t="n">
        <x:f>IFERROR(INDEX('Role Cost Assumptions'!$B$2:$B$10,MATCH(C69,'Role Cost Assumptions'!$A$2:$A$10,0)),25)</x:f>
        <x:v>25</x:v>
      </x:c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</x:row>
    <x:row r="70">
      <x:c r="A70" s="12" t="str">
        <x:v>OBS-069</x:v>
      </x:c>
      <x:c r="B70" s="14"/>
      <x:c r="C70" s="12"/>
      <x:c r="D70" s="12"/>
      <x:c r="E70" s="12"/>
      <x:c r="F70" s="12"/>
      <x:c r="G70" s="12"/>
      <x:c r="H70" s="16"/>
      <x:c r="I70" s="16"/>
      <x:c r="J70" s="12"/>
      <x:c r="K70" s="12"/>
      <x:c r="L70" s="12"/>
      <x:c r="M70" s="12"/>
      <x:c r="N70" s="12"/>
      <x:c r="O70" s="12"/>
      <x:c r="P70" s="12"/>
      <x:c r="Q70" s="16"/>
      <x:c r="R70" s="18"/>
      <x:c r="S70" s="18"/>
      <x:c r="T70" s="12" t="n">
        <x:v>220</x:v>
      </x:c>
      <x:c r="U70" s="20" t="n">
        <x:f>IFERROR(INDEX('Role Cost Assumptions'!$B$2:$B$10,MATCH(C70,'Role Cost Assumptions'!$A$2:$A$10,0)),25)</x:f>
        <x:v>25</x:v>
      </x:c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</x:row>
    <x:row r="71">
      <x:c r="A71" s="12" t="str">
        <x:v>OBS-070</x:v>
      </x:c>
      <x:c r="B71" s="14"/>
      <x:c r="C71" s="12"/>
      <x:c r="D71" s="12"/>
      <x:c r="E71" s="12"/>
      <x:c r="F71" s="12"/>
      <x:c r="G71" s="12"/>
      <x:c r="H71" s="16"/>
      <x:c r="I71" s="16"/>
      <x:c r="J71" s="12"/>
      <x:c r="K71" s="12"/>
      <x:c r="L71" s="12"/>
      <x:c r="M71" s="12"/>
      <x:c r="N71" s="12"/>
      <x:c r="O71" s="12"/>
      <x:c r="P71" s="12"/>
      <x:c r="Q71" s="16"/>
      <x:c r="R71" s="18"/>
      <x:c r="S71" s="18"/>
      <x:c r="T71" s="12" t="n">
        <x:v>220</x:v>
      </x:c>
      <x:c r="U71" s="20" t="n">
        <x:f>IFERROR(INDEX('Role Cost Assumptions'!$B$2:$B$10,MATCH(C71,'Role Cost Assumptions'!$A$2:$A$10,0)),25)</x:f>
        <x:v>25</x:v>
      </x:c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</x:row>
    <x:row r="72">
      <x:c r="A72" s="12" t="str">
        <x:v>OBS-071</x:v>
      </x:c>
      <x:c r="B72" s="14"/>
      <x:c r="C72" s="12"/>
      <x:c r="D72" s="12"/>
      <x:c r="E72" s="12"/>
      <x:c r="F72" s="12"/>
      <x:c r="G72" s="12"/>
      <x:c r="H72" s="16"/>
      <x:c r="I72" s="16"/>
      <x:c r="J72" s="12"/>
      <x:c r="K72" s="12"/>
      <x:c r="L72" s="12"/>
      <x:c r="M72" s="12"/>
      <x:c r="N72" s="12"/>
      <x:c r="O72" s="12"/>
      <x:c r="P72" s="12"/>
      <x:c r="Q72" s="16"/>
      <x:c r="R72" s="18"/>
      <x:c r="S72" s="18"/>
      <x:c r="T72" s="12" t="n">
        <x:v>220</x:v>
      </x:c>
      <x:c r="U72" s="20" t="n">
        <x:f>IFERROR(INDEX('Role Cost Assumptions'!$B$2:$B$10,MATCH(C72,'Role Cost Assumptions'!$A$2:$A$10,0)),25)</x:f>
        <x:v>25</x:v>
      </x:c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</x:row>
    <x:row r="73">
      <x:c r="A73" s="12" t="str">
        <x:v>OBS-072</x:v>
      </x:c>
      <x:c r="B73" s="14"/>
      <x:c r="C73" s="12"/>
      <x:c r="D73" s="12"/>
      <x:c r="E73" s="12"/>
      <x:c r="F73" s="12"/>
      <x:c r="G73" s="12"/>
      <x:c r="H73" s="16"/>
      <x:c r="I73" s="16"/>
      <x:c r="J73" s="12"/>
      <x:c r="K73" s="12"/>
      <x:c r="L73" s="12"/>
      <x:c r="M73" s="12"/>
      <x:c r="N73" s="12"/>
      <x:c r="O73" s="12"/>
      <x:c r="P73" s="12"/>
      <x:c r="Q73" s="16"/>
      <x:c r="R73" s="18"/>
      <x:c r="S73" s="18"/>
      <x:c r="T73" s="12" t="n">
        <x:v>220</x:v>
      </x:c>
      <x:c r="U73" s="20" t="n">
        <x:f>IFERROR(INDEX('Role Cost Assumptions'!$B$2:$B$10,MATCH(C73,'Role Cost Assumptions'!$A$2:$A$10,0)),25)</x:f>
        <x:v>25</x:v>
      </x:c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</x:row>
    <x:row r="74">
      <x:c r="A74" s="12" t="str">
        <x:v>OBS-073</x:v>
      </x:c>
      <x:c r="B74" s="14"/>
      <x:c r="C74" s="12"/>
      <x:c r="D74" s="12"/>
      <x:c r="E74" s="12"/>
      <x:c r="F74" s="12"/>
      <x:c r="G74" s="12"/>
      <x:c r="H74" s="16"/>
      <x:c r="I74" s="16"/>
      <x:c r="J74" s="12"/>
      <x:c r="K74" s="12"/>
      <x:c r="L74" s="12"/>
      <x:c r="M74" s="12"/>
      <x:c r="N74" s="12"/>
      <x:c r="O74" s="12"/>
      <x:c r="P74" s="12"/>
      <x:c r="Q74" s="16"/>
      <x:c r="R74" s="18"/>
      <x:c r="S74" s="18"/>
      <x:c r="T74" s="12" t="n">
        <x:v>220</x:v>
      </x:c>
      <x:c r="U74" s="20" t="n">
        <x:f>IFERROR(INDEX('Role Cost Assumptions'!$B$2:$B$10,MATCH(C74,'Role Cost Assumptions'!$A$2:$A$10,0)),25)</x:f>
        <x:v>25</x:v>
      </x:c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</x:row>
    <x:row r="75">
      <x:c r="A75" s="12" t="str">
        <x:v>OBS-074</x:v>
      </x:c>
      <x:c r="B75" s="14"/>
      <x:c r="C75" s="12"/>
      <x:c r="D75" s="12"/>
      <x:c r="E75" s="12"/>
      <x:c r="F75" s="12"/>
      <x:c r="G75" s="12"/>
      <x:c r="H75" s="16"/>
      <x:c r="I75" s="16"/>
      <x:c r="J75" s="12"/>
      <x:c r="K75" s="12"/>
      <x:c r="L75" s="12"/>
      <x:c r="M75" s="12"/>
      <x:c r="N75" s="12"/>
      <x:c r="O75" s="12"/>
      <x:c r="P75" s="12"/>
      <x:c r="Q75" s="16"/>
      <x:c r="R75" s="18"/>
      <x:c r="S75" s="18"/>
      <x:c r="T75" s="12" t="n">
        <x:v>220</x:v>
      </x:c>
      <x:c r="U75" s="20" t="n">
        <x:f>IFERROR(INDEX('Role Cost Assumptions'!$B$2:$B$10,MATCH(C75,'Role Cost Assumptions'!$A$2:$A$10,0)),25)</x:f>
        <x:v>25</x:v>
      </x:c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</x:row>
    <x:row r="76">
      <x:c r="A76" s="12" t="str">
        <x:v>OBS-075</x:v>
      </x:c>
      <x:c r="B76" s="14"/>
      <x:c r="C76" s="12"/>
      <x:c r="D76" s="12"/>
      <x:c r="E76" s="12"/>
      <x:c r="F76" s="12"/>
      <x:c r="G76" s="12"/>
      <x:c r="H76" s="16"/>
      <x:c r="I76" s="16"/>
      <x:c r="J76" s="12"/>
      <x:c r="K76" s="12"/>
      <x:c r="L76" s="12"/>
      <x:c r="M76" s="12"/>
      <x:c r="N76" s="12"/>
      <x:c r="O76" s="12"/>
      <x:c r="P76" s="12"/>
      <x:c r="Q76" s="16"/>
      <x:c r="R76" s="18"/>
      <x:c r="S76" s="18"/>
      <x:c r="T76" s="12" t="n">
        <x:v>220</x:v>
      </x:c>
      <x:c r="U76" s="20" t="n">
        <x:f>IFERROR(INDEX('Role Cost Assumptions'!$B$2:$B$10,MATCH(C76,'Role Cost Assumptions'!$A$2:$A$10,0)),25)</x:f>
        <x:v>25</x:v>
      </x:c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</x:row>
    <x:row r="77">
      <x:c r="A77" s="12" t="str">
        <x:v>OBS-076</x:v>
      </x:c>
      <x:c r="B77" s="14"/>
      <x:c r="C77" s="12"/>
      <x:c r="D77" s="12"/>
      <x:c r="E77" s="12"/>
      <x:c r="F77" s="12"/>
      <x:c r="G77" s="12"/>
      <x:c r="H77" s="16"/>
      <x:c r="I77" s="16"/>
      <x:c r="J77" s="12"/>
      <x:c r="K77" s="12"/>
      <x:c r="L77" s="12"/>
      <x:c r="M77" s="12"/>
      <x:c r="N77" s="12"/>
      <x:c r="O77" s="12"/>
      <x:c r="P77" s="12"/>
      <x:c r="Q77" s="16"/>
      <x:c r="R77" s="18"/>
      <x:c r="S77" s="18"/>
      <x:c r="T77" s="12" t="n">
        <x:v>220</x:v>
      </x:c>
      <x:c r="U77" s="20" t="n">
        <x:f>IFERROR(INDEX('Role Cost Assumptions'!$B$2:$B$10,MATCH(C77,'Role Cost Assumptions'!$A$2:$A$10,0)),25)</x:f>
        <x:v>25</x:v>
      </x:c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</x:row>
    <x:row r="78">
      <x:c r="A78" s="12" t="str">
        <x:v>OBS-077</x:v>
      </x:c>
      <x:c r="B78" s="14"/>
      <x:c r="C78" s="12"/>
      <x:c r="D78" s="12"/>
      <x:c r="E78" s="12"/>
      <x:c r="F78" s="12"/>
      <x:c r="G78" s="12"/>
      <x:c r="H78" s="16"/>
      <x:c r="I78" s="16"/>
      <x:c r="J78" s="12"/>
      <x:c r="K78" s="12"/>
      <x:c r="L78" s="12"/>
      <x:c r="M78" s="12"/>
      <x:c r="N78" s="12"/>
      <x:c r="O78" s="12"/>
      <x:c r="P78" s="12"/>
      <x:c r="Q78" s="16"/>
      <x:c r="R78" s="18"/>
      <x:c r="S78" s="18"/>
      <x:c r="T78" s="12" t="n">
        <x:v>220</x:v>
      </x:c>
      <x:c r="U78" s="20" t="n">
        <x:f>IFERROR(INDEX('Role Cost Assumptions'!$B$2:$B$10,MATCH(C78,'Role Cost Assumptions'!$A$2:$A$10,0)),25)</x:f>
        <x:v>25</x:v>
      </x:c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</x:row>
    <x:row r="79">
      <x:c r="A79" s="12" t="str">
        <x:v>OBS-078</x:v>
      </x:c>
      <x:c r="B79" s="14"/>
      <x:c r="C79" s="12"/>
      <x:c r="D79" s="12"/>
      <x:c r="E79" s="12"/>
      <x:c r="F79" s="12"/>
      <x:c r="G79" s="12"/>
      <x:c r="H79" s="16"/>
      <x:c r="I79" s="16"/>
      <x:c r="J79" s="12"/>
      <x:c r="K79" s="12"/>
      <x:c r="L79" s="12"/>
      <x:c r="M79" s="12"/>
      <x:c r="N79" s="12"/>
      <x:c r="O79" s="12"/>
      <x:c r="P79" s="12"/>
      <x:c r="Q79" s="16"/>
      <x:c r="R79" s="18"/>
      <x:c r="S79" s="18"/>
      <x:c r="T79" s="12" t="n">
        <x:v>220</x:v>
      </x:c>
      <x:c r="U79" s="20" t="n">
        <x:f>IFERROR(INDEX('Role Cost Assumptions'!$B$2:$B$10,MATCH(C79,'Role Cost Assumptions'!$A$2:$A$10,0)),25)</x:f>
        <x:v>25</x:v>
      </x:c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</x:row>
    <x:row r="80">
      <x:c r="A80" s="12" t="str">
        <x:v>OBS-079</x:v>
      </x:c>
      <x:c r="B80" s="14"/>
      <x:c r="C80" s="12"/>
      <x:c r="D80" s="12"/>
      <x:c r="E80" s="12"/>
      <x:c r="F80" s="12"/>
      <x:c r="G80" s="12"/>
      <x:c r="H80" s="16"/>
      <x:c r="I80" s="16"/>
      <x:c r="J80" s="12"/>
      <x:c r="K80" s="12"/>
      <x:c r="L80" s="12"/>
      <x:c r="M80" s="12"/>
      <x:c r="N80" s="12"/>
      <x:c r="O80" s="12"/>
      <x:c r="P80" s="12"/>
      <x:c r="Q80" s="16"/>
      <x:c r="R80" s="18"/>
      <x:c r="S80" s="18"/>
      <x:c r="T80" s="12" t="n">
        <x:v>220</x:v>
      </x:c>
      <x:c r="U80" s="20" t="n">
        <x:f>IFERROR(INDEX('Role Cost Assumptions'!$B$2:$B$10,MATCH(C80,'Role Cost Assumptions'!$A$2:$A$10,0)),25)</x:f>
        <x:v>25</x:v>
      </x:c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</x:row>
    <x:row r="81">
      <x:c r="A81" s="12" t="str">
        <x:v>OBS-080</x:v>
      </x:c>
      <x:c r="B81" s="14"/>
      <x:c r="C81" s="12"/>
      <x:c r="D81" s="12"/>
      <x:c r="E81" s="12"/>
      <x:c r="F81" s="12"/>
      <x:c r="G81" s="12"/>
      <x:c r="H81" s="16"/>
      <x:c r="I81" s="16"/>
      <x:c r="J81" s="12"/>
      <x:c r="K81" s="12"/>
      <x:c r="L81" s="12"/>
      <x:c r="M81" s="12"/>
      <x:c r="N81" s="12"/>
      <x:c r="O81" s="12"/>
      <x:c r="P81" s="12"/>
      <x:c r="Q81" s="16"/>
      <x:c r="R81" s="18"/>
      <x:c r="S81" s="18"/>
      <x:c r="T81" s="12" t="n">
        <x:v>220</x:v>
      </x:c>
      <x:c r="U81" s="20" t="n">
        <x:f>IFERROR(INDEX('Role Cost Assumptions'!$B$2:$B$10,MATCH(C81,'Role Cost Assumptions'!$A$2:$A$10,0)),25)</x:f>
        <x:v>25</x:v>
      </x:c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</x:row>
    <x:row r="82">
      <x:c r="A82" s="12" t="str">
        <x:v>OBS-081</x:v>
      </x:c>
      <x:c r="B82" s="14"/>
      <x:c r="C82" s="12"/>
      <x:c r="D82" s="12"/>
      <x:c r="E82" s="12"/>
      <x:c r="F82" s="12"/>
      <x:c r="G82" s="12"/>
      <x:c r="H82" s="16"/>
      <x:c r="I82" s="16"/>
      <x:c r="J82" s="12"/>
      <x:c r="K82" s="12"/>
      <x:c r="L82" s="12"/>
      <x:c r="M82" s="12"/>
      <x:c r="N82" s="12"/>
      <x:c r="O82" s="12"/>
      <x:c r="P82" s="12"/>
      <x:c r="Q82" s="16"/>
      <x:c r="R82" s="18"/>
      <x:c r="S82" s="18"/>
      <x:c r="T82" s="12" t="n">
        <x:v>220</x:v>
      </x:c>
      <x:c r="U82" s="20" t="n">
        <x:f>IFERROR(INDEX('Role Cost Assumptions'!$B$2:$B$10,MATCH(C82,'Role Cost Assumptions'!$A$2:$A$10,0)),25)</x:f>
        <x:v>25</x:v>
      </x:c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</x:row>
    <x:row r="83">
      <x:c r="A83" s="12" t="str">
        <x:v>OBS-082</x:v>
      </x:c>
      <x:c r="B83" s="14"/>
      <x:c r="C83" s="12"/>
      <x:c r="D83" s="12"/>
      <x:c r="E83" s="12"/>
      <x:c r="F83" s="12"/>
      <x:c r="G83" s="12"/>
      <x:c r="H83" s="16"/>
      <x:c r="I83" s="16"/>
      <x:c r="J83" s="12"/>
      <x:c r="K83" s="12"/>
      <x:c r="L83" s="12"/>
      <x:c r="M83" s="12"/>
      <x:c r="N83" s="12"/>
      <x:c r="O83" s="12"/>
      <x:c r="P83" s="12"/>
      <x:c r="Q83" s="16"/>
      <x:c r="R83" s="18"/>
      <x:c r="S83" s="18"/>
      <x:c r="T83" s="12" t="n">
        <x:v>220</x:v>
      </x:c>
      <x:c r="U83" s="20" t="n">
        <x:f>IFERROR(INDEX('Role Cost Assumptions'!$B$2:$B$10,MATCH(C83,'Role Cost Assumptions'!$A$2:$A$10,0)),25)</x:f>
        <x:v>25</x:v>
      </x:c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</x:row>
    <x:row r="84">
      <x:c r="A84" s="12" t="str">
        <x:v>OBS-083</x:v>
      </x:c>
      <x:c r="B84" s="14"/>
      <x:c r="C84" s="12"/>
      <x:c r="D84" s="12"/>
      <x:c r="E84" s="12"/>
      <x:c r="F84" s="12"/>
      <x:c r="G84" s="12"/>
      <x:c r="H84" s="16"/>
      <x:c r="I84" s="16"/>
      <x:c r="J84" s="12"/>
      <x:c r="K84" s="12"/>
      <x:c r="L84" s="12"/>
      <x:c r="M84" s="12"/>
      <x:c r="N84" s="12"/>
      <x:c r="O84" s="12"/>
      <x:c r="P84" s="12"/>
      <x:c r="Q84" s="16"/>
      <x:c r="R84" s="18"/>
      <x:c r="S84" s="18"/>
      <x:c r="T84" s="12" t="n">
        <x:v>220</x:v>
      </x:c>
      <x:c r="U84" s="20" t="n">
        <x:f>IFERROR(INDEX('Role Cost Assumptions'!$B$2:$B$10,MATCH(C84,'Role Cost Assumptions'!$A$2:$A$10,0)),25)</x:f>
        <x:v>25</x:v>
      </x:c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</x:row>
    <x:row r="85">
      <x:c r="A85" s="12" t="str">
        <x:v>OBS-084</x:v>
      </x:c>
      <x:c r="B85" s="14"/>
      <x:c r="C85" s="12"/>
      <x:c r="D85" s="12"/>
      <x:c r="E85" s="12"/>
      <x:c r="F85" s="12"/>
      <x:c r="G85" s="12"/>
      <x:c r="H85" s="16"/>
      <x:c r="I85" s="16"/>
      <x:c r="J85" s="12"/>
      <x:c r="K85" s="12"/>
      <x:c r="L85" s="12"/>
      <x:c r="M85" s="12"/>
      <x:c r="N85" s="12"/>
      <x:c r="O85" s="12"/>
      <x:c r="P85" s="12"/>
      <x:c r="Q85" s="16"/>
      <x:c r="R85" s="18"/>
      <x:c r="S85" s="18"/>
      <x:c r="T85" s="12" t="n">
        <x:v>220</x:v>
      </x:c>
      <x:c r="U85" s="20" t="n">
        <x:f>IFERROR(INDEX('Role Cost Assumptions'!$B$2:$B$10,MATCH(C85,'Role Cost Assumptions'!$A$2:$A$10,0)),25)</x:f>
        <x:v>25</x:v>
      </x:c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</x:row>
    <x:row r="86">
      <x:c r="A86" s="12" t="str">
        <x:v>OBS-085</x:v>
      </x:c>
      <x:c r="B86" s="14"/>
      <x:c r="C86" s="12"/>
      <x:c r="D86" s="12"/>
      <x:c r="E86" s="12"/>
      <x:c r="F86" s="12"/>
      <x:c r="G86" s="12"/>
      <x:c r="H86" s="16"/>
      <x:c r="I86" s="16"/>
      <x:c r="J86" s="12"/>
      <x:c r="K86" s="12"/>
      <x:c r="L86" s="12"/>
      <x:c r="M86" s="12"/>
      <x:c r="N86" s="12"/>
      <x:c r="O86" s="12"/>
      <x:c r="P86" s="12"/>
      <x:c r="Q86" s="16"/>
      <x:c r="R86" s="18"/>
      <x:c r="S86" s="18"/>
      <x:c r="T86" s="12" t="n">
        <x:v>220</x:v>
      </x:c>
      <x:c r="U86" s="20" t="n">
        <x:f>IFERROR(INDEX('Role Cost Assumptions'!$B$2:$B$10,MATCH(C86,'Role Cost Assumptions'!$A$2:$A$10,0)),25)</x:f>
        <x:v>25</x:v>
      </x:c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</x:row>
    <x:row r="87">
      <x:c r="A87" s="12" t="str">
        <x:v>OBS-086</x:v>
      </x:c>
      <x:c r="B87" s="14"/>
      <x:c r="C87" s="12"/>
      <x:c r="D87" s="12"/>
      <x:c r="E87" s="12"/>
      <x:c r="F87" s="12"/>
      <x:c r="G87" s="12"/>
      <x:c r="H87" s="16"/>
      <x:c r="I87" s="16"/>
      <x:c r="J87" s="12"/>
      <x:c r="K87" s="12"/>
      <x:c r="L87" s="12"/>
      <x:c r="M87" s="12"/>
      <x:c r="N87" s="12"/>
      <x:c r="O87" s="12"/>
      <x:c r="P87" s="12"/>
      <x:c r="Q87" s="16"/>
      <x:c r="R87" s="18"/>
      <x:c r="S87" s="18"/>
      <x:c r="T87" s="12" t="n">
        <x:v>220</x:v>
      </x:c>
      <x:c r="U87" s="20" t="n">
        <x:f>IFERROR(INDEX('Role Cost Assumptions'!$B$2:$B$10,MATCH(C87,'Role Cost Assumptions'!$A$2:$A$10,0)),25)</x:f>
        <x:v>25</x:v>
      </x:c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</x:row>
    <x:row r="88">
      <x:c r="A88" s="12" t="str">
        <x:v>OBS-087</x:v>
      </x:c>
      <x:c r="B88" s="14"/>
      <x:c r="C88" s="12"/>
      <x:c r="D88" s="12"/>
      <x:c r="E88" s="12"/>
      <x:c r="F88" s="12"/>
      <x:c r="G88" s="12"/>
      <x:c r="H88" s="16"/>
      <x:c r="I88" s="16"/>
      <x:c r="J88" s="12"/>
      <x:c r="K88" s="12"/>
      <x:c r="L88" s="12"/>
      <x:c r="M88" s="12"/>
      <x:c r="N88" s="12"/>
      <x:c r="O88" s="12"/>
      <x:c r="P88" s="12"/>
      <x:c r="Q88" s="16"/>
      <x:c r="R88" s="18"/>
      <x:c r="S88" s="18"/>
      <x:c r="T88" s="12" t="n">
        <x:v>220</x:v>
      </x:c>
      <x:c r="U88" s="20" t="n">
        <x:f>IFERROR(INDEX('Role Cost Assumptions'!$B$2:$B$10,MATCH(C88,'Role Cost Assumptions'!$A$2:$A$10,0)),25)</x:f>
        <x:v>25</x:v>
      </x:c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</x:row>
    <x:row r="89">
      <x:c r="A89" s="12" t="str">
        <x:v>OBS-088</x:v>
      </x:c>
      <x:c r="B89" s="14"/>
      <x:c r="C89" s="12"/>
      <x:c r="D89" s="12"/>
      <x:c r="E89" s="12"/>
      <x:c r="F89" s="12"/>
      <x:c r="G89" s="12"/>
      <x:c r="H89" s="16"/>
      <x:c r="I89" s="16"/>
      <x:c r="J89" s="12"/>
      <x:c r="K89" s="12"/>
      <x:c r="L89" s="12"/>
      <x:c r="M89" s="12"/>
      <x:c r="N89" s="12"/>
      <x:c r="O89" s="12"/>
      <x:c r="P89" s="12"/>
      <x:c r="Q89" s="16"/>
      <x:c r="R89" s="18"/>
      <x:c r="S89" s="18"/>
      <x:c r="T89" s="12" t="n">
        <x:v>220</x:v>
      </x:c>
      <x:c r="U89" s="20" t="n">
        <x:f>IFERROR(INDEX('Role Cost Assumptions'!$B$2:$B$10,MATCH(C89,'Role Cost Assumptions'!$A$2:$A$10,0)),25)</x:f>
        <x:v>25</x:v>
      </x:c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</x:row>
    <x:row r="90">
      <x:c r="A90" s="12" t="str">
        <x:v>OBS-089</x:v>
      </x:c>
      <x:c r="B90" s="14"/>
      <x:c r="C90" s="12"/>
      <x:c r="D90" s="12"/>
      <x:c r="E90" s="12"/>
      <x:c r="F90" s="12"/>
      <x:c r="G90" s="12"/>
      <x:c r="H90" s="16"/>
      <x:c r="I90" s="16"/>
      <x:c r="J90" s="12"/>
      <x:c r="K90" s="12"/>
      <x:c r="L90" s="12"/>
      <x:c r="M90" s="12"/>
      <x:c r="N90" s="12"/>
      <x:c r="O90" s="12"/>
      <x:c r="P90" s="12"/>
      <x:c r="Q90" s="16"/>
      <x:c r="R90" s="18"/>
      <x:c r="S90" s="18"/>
      <x:c r="T90" s="12" t="n">
        <x:v>220</x:v>
      </x:c>
      <x:c r="U90" s="20" t="n">
        <x:f>IFERROR(INDEX('Role Cost Assumptions'!$B$2:$B$10,MATCH(C90,'Role Cost Assumptions'!$A$2:$A$10,0)),25)</x:f>
        <x:v>25</x:v>
      </x:c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</x:row>
    <x:row r="91">
      <x:c r="A91" s="12" t="str">
        <x:v>OBS-090</x:v>
      </x:c>
      <x:c r="B91" s="14"/>
      <x:c r="C91" s="12"/>
      <x:c r="D91" s="12"/>
      <x:c r="E91" s="12"/>
      <x:c r="F91" s="12"/>
      <x:c r="G91" s="12"/>
      <x:c r="H91" s="16"/>
      <x:c r="I91" s="16"/>
      <x:c r="J91" s="12"/>
      <x:c r="K91" s="12"/>
      <x:c r="L91" s="12"/>
      <x:c r="M91" s="12"/>
      <x:c r="N91" s="12"/>
      <x:c r="O91" s="12"/>
      <x:c r="P91" s="12"/>
      <x:c r="Q91" s="16"/>
      <x:c r="R91" s="18"/>
      <x:c r="S91" s="18"/>
      <x:c r="T91" s="12" t="n">
        <x:v>220</x:v>
      </x:c>
      <x:c r="U91" s="20" t="n">
        <x:f>IFERROR(INDEX('Role Cost Assumptions'!$B$2:$B$10,MATCH(C91,'Role Cost Assumptions'!$A$2:$A$10,0)),25)</x:f>
        <x:v>25</x:v>
      </x:c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</x:row>
    <x:row r="92">
      <x:c r="A92" s="12" t="str">
        <x:v>OBS-091</x:v>
      </x:c>
      <x:c r="B92" s="14"/>
      <x:c r="C92" s="12"/>
      <x:c r="D92" s="12"/>
      <x:c r="E92" s="12"/>
      <x:c r="F92" s="12"/>
      <x:c r="G92" s="12"/>
      <x:c r="H92" s="16"/>
      <x:c r="I92" s="16"/>
      <x:c r="J92" s="12"/>
      <x:c r="K92" s="12"/>
      <x:c r="L92" s="12"/>
      <x:c r="M92" s="12"/>
      <x:c r="N92" s="12"/>
      <x:c r="O92" s="12"/>
      <x:c r="P92" s="12"/>
      <x:c r="Q92" s="16"/>
      <x:c r="R92" s="18"/>
      <x:c r="S92" s="18"/>
      <x:c r="T92" s="12" t="n">
        <x:v>220</x:v>
      </x:c>
      <x:c r="U92" s="20" t="n">
        <x:f>IFERROR(INDEX('Role Cost Assumptions'!$B$2:$B$10,MATCH(C92,'Role Cost Assumptions'!$A$2:$A$10,0)),25)</x:f>
        <x:v>25</x:v>
      </x:c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</x:row>
    <x:row r="93">
      <x:c r="A93" s="12" t="str">
        <x:v>OBS-092</x:v>
      </x:c>
      <x:c r="B93" s="14"/>
      <x:c r="C93" s="12"/>
      <x:c r="D93" s="12"/>
      <x:c r="E93" s="12"/>
      <x:c r="F93" s="12"/>
      <x:c r="G93" s="12"/>
      <x:c r="H93" s="16"/>
      <x:c r="I93" s="16"/>
      <x:c r="J93" s="12"/>
      <x:c r="K93" s="12"/>
      <x:c r="L93" s="12"/>
      <x:c r="M93" s="12"/>
      <x:c r="N93" s="12"/>
      <x:c r="O93" s="12"/>
      <x:c r="P93" s="12"/>
      <x:c r="Q93" s="16"/>
      <x:c r="R93" s="18"/>
      <x:c r="S93" s="18"/>
      <x:c r="T93" s="12" t="n">
        <x:v>220</x:v>
      </x:c>
      <x:c r="U93" s="20" t="n">
        <x:f>IFERROR(INDEX('Role Cost Assumptions'!$B$2:$B$10,MATCH(C93,'Role Cost Assumptions'!$A$2:$A$10,0)),25)</x:f>
        <x:v>25</x:v>
      </x:c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</x:row>
    <x:row r="94">
      <x:c r="A94" s="12" t="str">
        <x:v>OBS-093</x:v>
      </x:c>
      <x:c r="B94" s="14"/>
      <x:c r="C94" s="12"/>
      <x:c r="D94" s="12"/>
      <x:c r="E94" s="12"/>
      <x:c r="F94" s="12"/>
      <x:c r="G94" s="12"/>
      <x:c r="H94" s="16"/>
      <x:c r="I94" s="16"/>
      <x:c r="J94" s="12"/>
      <x:c r="K94" s="12"/>
      <x:c r="L94" s="12"/>
      <x:c r="M94" s="12"/>
      <x:c r="N94" s="12"/>
      <x:c r="O94" s="12"/>
      <x:c r="P94" s="12"/>
      <x:c r="Q94" s="16"/>
      <x:c r="R94" s="18"/>
      <x:c r="S94" s="18"/>
      <x:c r="T94" s="12" t="n">
        <x:v>220</x:v>
      </x:c>
      <x:c r="U94" s="20" t="n">
        <x:f>IFERROR(INDEX('Role Cost Assumptions'!$B$2:$B$10,MATCH(C94,'Role Cost Assumptions'!$A$2:$A$10,0)),25)</x:f>
        <x:v>25</x:v>
      </x:c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</x:row>
    <x:row r="95">
      <x:c r="A95" s="12" t="str">
        <x:v>OBS-094</x:v>
      </x:c>
      <x:c r="B95" s="14"/>
      <x:c r="C95" s="12"/>
      <x:c r="D95" s="12"/>
      <x:c r="E95" s="12"/>
      <x:c r="F95" s="12"/>
      <x:c r="G95" s="12"/>
      <x:c r="H95" s="16"/>
      <x:c r="I95" s="16"/>
      <x:c r="J95" s="12"/>
      <x:c r="K95" s="12"/>
      <x:c r="L95" s="12"/>
      <x:c r="M95" s="12"/>
      <x:c r="N95" s="12"/>
      <x:c r="O95" s="12"/>
      <x:c r="P95" s="12"/>
      <x:c r="Q95" s="16"/>
      <x:c r="R95" s="18"/>
      <x:c r="S95" s="18"/>
      <x:c r="T95" s="12" t="n">
        <x:v>220</x:v>
      </x:c>
      <x:c r="U95" s="20" t="n">
        <x:f>IFERROR(INDEX('Role Cost Assumptions'!$B$2:$B$10,MATCH(C95,'Role Cost Assumptions'!$A$2:$A$10,0)),25)</x:f>
        <x:v>25</x:v>
      </x:c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</x:row>
    <x:row r="96">
      <x:c r="A96" s="12" t="str">
        <x:v>OBS-095</x:v>
      </x:c>
      <x:c r="B96" s="14"/>
      <x:c r="C96" s="12"/>
      <x:c r="D96" s="12"/>
      <x:c r="E96" s="12"/>
      <x:c r="F96" s="12"/>
      <x:c r="G96" s="12"/>
      <x:c r="H96" s="16"/>
      <x:c r="I96" s="16"/>
      <x:c r="J96" s="12"/>
      <x:c r="K96" s="12"/>
      <x:c r="L96" s="12"/>
      <x:c r="M96" s="12"/>
      <x:c r="N96" s="12"/>
      <x:c r="O96" s="12"/>
      <x:c r="P96" s="12"/>
      <x:c r="Q96" s="16"/>
      <x:c r="R96" s="18"/>
      <x:c r="S96" s="18"/>
      <x:c r="T96" s="12" t="n">
        <x:v>220</x:v>
      </x:c>
      <x:c r="U96" s="20" t="n">
        <x:f>IFERROR(INDEX('Role Cost Assumptions'!$B$2:$B$10,MATCH(C96,'Role Cost Assumptions'!$A$2:$A$10,0)),25)</x:f>
        <x:v>25</x:v>
      </x:c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</x:row>
    <x:row r="97">
      <x:c r="A97" s="12" t="str">
        <x:v>OBS-096</x:v>
      </x:c>
      <x:c r="B97" s="14"/>
      <x:c r="C97" s="12"/>
      <x:c r="D97" s="12"/>
      <x:c r="E97" s="12"/>
      <x:c r="F97" s="12"/>
      <x:c r="G97" s="12"/>
      <x:c r="H97" s="16"/>
      <x:c r="I97" s="16"/>
      <x:c r="J97" s="12"/>
      <x:c r="K97" s="12"/>
      <x:c r="L97" s="12"/>
      <x:c r="M97" s="12"/>
      <x:c r="N97" s="12"/>
      <x:c r="O97" s="12"/>
      <x:c r="P97" s="12"/>
      <x:c r="Q97" s="16"/>
      <x:c r="R97" s="18"/>
      <x:c r="S97" s="18"/>
      <x:c r="T97" s="12" t="n">
        <x:v>220</x:v>
      </x:c>
      <x:c r="U97" s="20" t="n">
        <x:f>IFERROR(INDEX('Role Cost Assumptions'!$B$2:$B$10,MATCH(C97,'Role Cost Assumptions'!$A$2:$A$10,0)),25)</x:f>
        <x:v>25</x:v>
      </x:c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</x:row>
    <x:row r="98">
      <x:c r="A98" s="12" t="str">
        <x:v>OBS-097</x:v>
      </x:c>
      <x:c r="B98" s="14"/>
      <x:c r="C98" s="12"/>
      <x:c r="D98" s="12"/>
      <x:c r="E98" s="12"/>
      <x:c r="F98" s="12"/>
      <x:c r="G98" s="12"/>
      <x:c r="H98" s="16"/>
      <x:c r="I98" s="16"/>
      <x:c r="J98" s="12"/>
      <x:c r="K98" s="12"/>
      <x:c r="L98" s="12"/>
      <x:c r="M98" s="12"/>
      <x:c r="N98" s="12"/>
      <x:c r="O98" s="12"/>
      <x:c r="P98" s="12"/>
      <x:c r="Q98" s="16"/>
      <x:c r="R98" s="18"/>
      <x:c r="S98" s="18"/>
      <x:c r="T98" s="12" t="n">
        <x:v>220</x:v>
      </x:c>
      <x:c r="U98" s="20" t="n">
        <x:f>IFERROR(INDEX('Role Cost Assumptions'!$B$2:$B$10,MATCH(C98,'Role Cost Assumptions'!$A$2:$A$10,0)),25)</x:f>
        <x:v>25</x:v>
      </x:c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</x:row>
    <x:row r="99">
      <x:c r="A99" s="12" t="str">
        <x:v>OBS-098</x:v>
      </x:c>
      <x:c r="B99" s="14"/>
      <x:c r="C99" s="12"/>
      <x:c r="D99" s="12"/>
      <x:c r="E99" s="12"/>
      <x:c r="F99" s="12"/>
      <x:c r="G99" s="12"/>
      <x:c r="H99" s="16"/>
      <x:c r="I99" s="16"/>
      <x:c r="J99" s="12"/>
      <x:c r="K99" s="12"/>
      <x:c r="L99" s="12"/>
      <x:c r="M99" s="12"/>
      <x:c r="N99" s="12"/>
      <x:c r="O99" s="12"/>
      <x:c r="P99" s="12"/>
      <x:c r="Q99" s="16"/>
      <x:c r="R99" s="18"/>
      <x:c r="S99" s="18"/>
      <x:c r="T99" s="12" t="n">
        <x:v>220</x:v>
      </x:c>
      <x:c r="U99" s="20" t="n">
        <x:f>IFERROR(INDEX('Role Cost Assumptions'!$B$2:$B$10,MATCH(C99,'Role Cost Assumptions'!$A$2:$A$10,0)),25)</x:f>
        <x:v>25</x:v>
      </x:c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</x:row>
    <x:row r="100">
      <x:c r="A100" s="12" t="str">
        <x:v>OBS-099</x:v>
      </x:c>
      <x:c r="B100" s="14"/>
      <x:c r="C100" s="12"/>
      <x:c r="D100" s="12"/>
      <x:c r="E100" s="12"/>
      <x:c r="F100" s="12"/>
      <x:c r="G100" s="12"/>
      <x:c r="H100" s="16"/>
      <x:c r="I100" s="16"/>
      <x:c r="J100" s="12"/>
      <x:c r="K100" s="12"/>
      <x:c r="L100" s="12"/>
      <x:c r="M100" s="12"/>
      <x:c r="N100" s="12"/>
      <x:c r="O100" s="12"/>
      <x:c r="P100" s="12"/>
      <x:c r="Q100" s="16"/>
      <x:c r="R100" s="18"/>
      <x:c r="S100" s="18"/>
      <x:c r="T100" s="12" t="n">
        <x:v>220</x:v>
      </x:c>
      <x:c r="U100" s="20" t="n">
        <x:f>IFERROR(INDEX('Role Cost Assumptions'!$B$2:$B$10,MATCH(C100,'Role Cost Assumptions'!$A$2:$A$10,0)),25)</x:f>
        <x:v>25</x:v>
      </x:c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</x:row>
    <x:row r="101">
      <x:c r="A101" s="12" t="str">
        <x:v>OBS-100</x:v>
      </x:c>
      <x:c r="B101" s="14"/>
      <x:c r="C101" s="12"/>
      <x:c r="D101" s="12"/>
      <x:c r="E101" s="12"/>
      <x:c r="F101" s="12"/>
      <x:c r="G101" s="12"/>
      <x:c r="H101" s="16"/>
      <x:c r="I101" s="16"/>
      <x:c r="J101" s="12"/>
      <x:c r="K101" s="12"/>
      <x:c r="L101" s="12"/>
      <x:c r="M101" s="12"/>
      <x:c r="N101" s="12"/>
      <x:c r="O101" s="12"/>
      <x:c r="P101" s="12"/>
      <x:c r="Q101" s="16"/>
      <x:c r="R101" s="18"/>
      <x:c r="S101" s="18"/>
      <x:c r="T101" s="12" t="n">
        <x:v>220</x:v>
      </x:c>
      <x:c r="U101" s="20" t="n">
        <x:f>IFERROR(INDEX('Role Cost Assumptions'!$B$2:$B$10,MATCH(C101,'Role Cost Assumptions'!$A$2:$A$10,0)),25)</x:f>
        <x:v>25</x:v>
      </x:c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</x:row>
    <x:row r="102">
      <x:c r="A102" s="12" t="str">
        <x:v>OBS-101</x:v>
      </x:c>
      <x:c r="B102" s="14"/>
      <x:c r="C102" s="12"/>
      <x:c r="D102" s="12"/>
      <x:c r="E102" s="12"/>
      <x:c r="F102" s="12"/>
      <x:c r="G102" s="12"/>
      <x:c r="H102" s="16"/>
      <x:c r="I102" s="16"/>
      <x:c r="J102" s="12"/>
      <x:c r="K102" s="12"/>
      <x:c r="L102" s="12"/>
      <x:c r="M102" s="12"/>
      <x:c r="N102" s="12"/>
      <x:c r="O102" s="12"/>
      <x:c r="P102" s="12"/>
      <x:c r="Q102" s="16"/>
      <x:c r="R102" s="18"/>
      <x:c r="S102" s="18"/>
      <x:c r="T102" s="12" t="n">
        <x:v>220</x:v>
      </x:c>
      <x:c r="U102" s="20" t="n">
        <x:f>IFERROR(INDEX('Role Cost Assumptions'!$B$2:$B$10,MATCH(C102,'Role Cost Assumptions'!$A$2:$A$10,0)),25)</x:f>
        <x:v>25</x:v>
      </x:c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</x:row>
    <x:row r="103">
      <x:c r="A103" s="12" t="str">
        <x:v>OBS-102</x:v>
      </x:c>
      <x:c r="B103" s="14"/>
      <x:c r="C103" s="12"/>
      <x:c r="D103" s="12"/>
      <x:c r="E103" s="12"/>
      <x:c r="F103" s="12"/>
      <x:c r="G103" s="12"/>
      <x:c r="H103" s="16"/>
      <x:c r="I103" s="16"/>
      <x:c r="J103" s="12"/>
      <x:c r="K103" s="12"/>
      <x:c r="L103" s="12"/>
      <x:c r="M103" s="12"/>
      <x:c r="N103" s="12"/>
      <x:c r="O103" s="12"/>
      <x:c r="P103" s="12"/>
      <x:c r="Q103" s="16"/>
      <x:c r="R103" s="18"/>
      <x:c r="S103" s="18"/>
      <x:c r="T103" s="12" t="n">
        <x:v>220</x:v>
      </x:c>
      <x:c r="U103" s="20" t="n">
        <x:f>IFERROR(INDEX('Role Cost Assumptions'!$B$2:$B$10,MATCH(C103,'Role Cost Assumptions'!$A$2:$A$10,0)),25)</x:f>
        <x:v>25</x:v>
      </x:c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</x:row>
    <x:row r="104">
      <x:c r="A104" s="12" t="str">
        <x:v>OBS-103</x:v>
      </x:c>
      <x:c r="B104" s="14"/>
      <x:c r="C104" s="12"/>
      <x:c r="D104" s="12"/>
      <x:c r="E104" s="12"/>
      <x:c r="F104" s="12"/>
      <x:c r="G104" s="12"/>
      <x:c r="H104" s="16"/>
      <x:c r="I104" s="16"/>
      <x:c r="J104" s="12"/>
      <x:c r="K104" s="12"/>
      <x:c r="L104" s="12"/>
      <x:c r="M104" s="12"/>
      <x:c r="N104" s="12"/>
      <x:c r="O104" s="12"/>
      <x:c r="P104" s="12"/>
      <x:c r="Q104" s="16"/>
      <x:c r="R104" s="18"/>
      <x:c r="S104" s="18"/>
      <x:c r="T104" s="12" t="n">
        <x:v>220</x:v>
      </x:c>
      <x:c r="U104" s="20" t="n">
        <x:f>IFERROR(INDEX('Role Cost Assumptions'!$B$2:$B$10,MATCH(C104,'Role Cost Assumptions'!$A$2:$A$10,0)),25)</x:f>
        <x:v>25</x:v>
      </x:c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</x:row>
    <x:row r="105">
      <x:c r="A105" s="12" t="str">
        <x:v>OBS-104</x:v>
      </x:c>
      <x:c r="B105" s="14"/>
      <x:c r="C105" s="12"/>
      <x:c r="D105" s="12"/>
      <x:c r="E105" s="12"/>
      <x:c r="F105" s="12"/>
      <x:c r="G105" s="12"/>
      <x:c r="H105" s="16"/>
      <x:c r="I105" s="16"/>
      <x:c r="J105" s="12"/>
      <x:c r="K105" s="12"/>
      <x:c r="L105" s="12"/>
      <x:c r="M105" s="12"/>
      <x:c r="N105" s="12"/>
      <x:c r="O105" s="12"/>
      <x:c r="P105" s="12"/>
      <x:c r="Q105" s="16"/>
      <x:c r="R105" s="18"/>
      <x:c r="S105" s="18"/>
      <x:c r="T105" s="12" t="n">
        <x:v>220</x:v>
      </x:c>
      <x:c r="U105" s="20" t="n">
        <x:f>IFERROR(INDEX('Role Cost Assumptions'!$B$2:$B$10,MATCH(C105,'Role Cost Assumptions'!$A$2:$A$10,0)),25)</x:f>
        <x:v>25</x:v>
      </x:c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</x:row>
    <x:row r="106">
      <x:c r="A106" s="12" t="str">
        <x:v>OBS-105</x:v>
      </x:c>
      <x:c r="B106" s="14"/>
      <x:c r="C106" s="12"/>
      <x:c r="D106" s="12"/>
      <x:c r="E106" s="12"/>
      <x:c r="F106" s="12"/>
      <x:c r="G106" s="12"/>
      <x:c r="H106" s="16"/>
      <x:c r="I106" s="16"/>
      <x:c r="J106" s="12"/>
      <x:c r="K106" s="12"/>
      <x:c r="L106" s="12"/>
      <x:c r="M106" s="12"/>
      <x:c r="N106" s="12"/>
      <x:c r="O106" s="12"/>
      <x:c r="P106" s="12"/>
      <x:c r="Q106" s="16"/>
      <x:c r="R106" s="18"/>
      <x:c r="S106" s="18"/>
      <x:c r="T106" s="12" t="n">
        <x:v>220</x:v>
      </x:c>
      <x:c r="U106" s="20" t="n">
        <x:f>IFERROR(INDEX('Role Cost Assumptions'!$B$2:$B$10,MATCH(C106,'Role Cost Assumptions'!$A$2:$A$10,0)),25)</x:f>
        <x:v>25</x:v>
      </x:c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</x:row>
    <x:row r="107">
      <x:c r="A107" s="12" t="str">
        <x:v>OBS-106</x:v>
      </x:c>
      <x:c r="B107" s="14"/>
      <x:c r="C107" s="12"/>
      <x:c r="D107" s="12"/>
      <x:c r="E107" s="12"/>
      <x:c r="F107" s="12"/>
      <x:c r="G107" s="12"/>
      <x:c r="H107" s="16"/>
      <x:c r="I107" s="16"/>
      <x:c r="J107" s="12"/>
      <x:c r="K107" s="12"/>
      <x:c r="L107" s="12"/>
      <x:c r="M107" s="12"/>
      <x:c r="N107" s="12"/>
      <x:c r="O107" s="12"/>
      <x:c r="P107" s="12"/>
      <x:c r="Q107" s="16"/>
      <x:c r="R107" s="18"/>
      <x:c r="S107" s="18"/>
      <x:c r="T107" s="12" t="n">
        <x:v>220</x:v>
      </x:c>
      <x:c r="U107" s="20" t="n">
        <x:f>IFERROR(INDEX('Role Cost Assumptions'!$B$2:$B$10,MATCH(C107,'Role Cost Assumptions'!$A$2:$A$10,0)),25)</x:f>
        <x:v>25</x:v>
      </x:c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</x:row>
    <x:row r="108">
      <x:c r="A108" s="12" t="str">
        <x:v>OBS-107</x:v>
      </x:c>
      <x:c r="B108" s="14"/>
      <x:c r="C108" s="12"/>
      <x:c r="D108" s="12"/>
      <x:c r="E108" s="12"/>
      <x:c r="F108" s="12"/>
      <x:c r="G108" s="12"/>
      <x:c r="H108" s="16"/>
      <x:c r="I108" s="16"/>
      <x:c r="J108" s="12"/>
      <x:c r="K108" s="12"/>
      <x:c r="L108" s="12"/>
      <x:c r="M108" s="12"/>
      <x:c r="N108" s="12"/>
      <x:c r="O108" s="12"/>
      <x:c r="P108" s="12"/>
      <x:c r="Q108" s="16"/>
      <x:c r="R108" s="18"/>
      <x:c r="S108" s="18"/>
      <x:c r="T108" s="12" t="n">
        <x:v>220</x:v>
      </x:c>
      <x:c r="U108" s="20" t="n">
        <x:f>IFERROR(INDEX('Role Cost Assumptions'!$B$2:$B$10,MATCH(C108,'Role Cost Assumptions'!$A$2:$A$10,0)),25)</x:f>
        <x:v>25</x:v>
      </x:c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</x:row>
    <x:row r="109">
      <x:c r="A109" s="12" t="str">
        <x:v>OBS-108</x:v>
      </x:c>
      <x:c r="B109" s="14"/>
      <x:c r="C109" s="12"/>
      <x:c r="D109" s="12"/>
      <x:c r="E109" s="12"/>
      <x:c r="F109" s="12"/>
      <x:c r="G109" s="12"/>
      <x:c r="H109" s="16"/>
      <x:c r="I109" s="16"/>
      <x:c r="J109" s="12"/>
      <x:c r="K109" s="12"/>
      <x:c r="L109" s="12"/>
      <x:c r="M109" s="12"/>
      <x:c r="N109" s="12"/>
      <x:c r="O109" s="12"/>
      <x:c r="P109" s="12"/>
      <x:c r="Q109" s="16"/>
      <x:c r="R109" s="18"/>
      <x:c r="S109" s="18"/>
      <x:c r="T109" s="12" t="n">
        <x:v>220</x:v>
      </x:c>
      <x:c r="U109" s="20" t="n">
        <x:f>IFERROR(INDEX('Role Cost Assumptions'!$B$2:$B$10,MATCH(C109,'Role Cost Assumptions'!$A$2:$A$10,0)),25)</x:f>
        <x:v>25</x:v>
      </x:c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</x:row>
    <x:row r="110">
      <x:c r="A110" s="12" t="str">
        <x:v>OBS-109</x:v>
      </x:c>
      <x:c r="B110" s="14"/>
      <x:c r="C110" s="12"/>
      <x:c r="D110" s="12"/>
      <x:c r="E110" s="12"/>
      <x:c r="F110" s="12"/>
      <x:c r="G110" s="12"/>
      <x:c r="H110" s="16"/>
      <x:c r="I110" s="16"/>
      <x:c r="J110" s="12"/>
      <x:c r="K110" s="12"/>
      <x:c r="L110" s="12"/>
      <x:c r="M110" s="12"/>
      <x:c r="N110" s="12"/>
      <x:c r="O110" s="12"/>
      <x:c r="P110" s="12"/>
      <x:c r="Q110" s="16"/>
      <x:c r="R110" s="18"/>
      <x:c r="S110" s="18"/>
      <x:c r="T110" s="12" t="n">
        <x:v>220</x:v>
      </x:c>
      <x:c r="U110" s="20" t="n">
        <x:f>IFERROR(INDEX('Role Cost Assumptions'!$B$2:$B$10,MATCH(C110,'Role Cost Assumptions'!$A$2:$A$10,0)),25)</x:f>
        <x:v>25</x:v>
      </x:c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</x:row>
    <x:row r="111">
      <x:c r="A111" s="12" t="str">
        <x:v>OBS-110</x:v>
      </x:c>
      <x:c r="B111" s="14"/>
      <x:c r="C111" s="12"/>
      <x:c r="D111" s="12"/>
      <x:c r="E111" s="12"/>
      <x:c r="F111" s="12"/>
      <x:c r="G111" s="12"/>
      <x:c r="H111" s="16"/>
      <x:c r="I111" s="16"/>
      <x:c r="J111" s="12"/>
      <x:c r="K111" s="12"/>
      <x:c r="L111" s="12"/>
      <x:c r="M111" s="12"/>
      <x:c r="N111" s="12"/>
      <x:c r="O111" s="12"/>
      <x:c r="P111" s="12"/>
      <x:c r="Q111" s="16"/>
      <x:c r="R111" s="18"/>
      <x:c r="S111" s="18"/>
      <x:c r="T111" s="12" t="n">
        <x:v>220</x:v>
      </x:c>
      <x:c r="U111" s="20" t="n">
        <x:f>IFERROR(INDEX('Role Cost Assumptions'!$B$2:$B$10,MATCH(C111,'Role Cost Assumptions'!$A$2:$A$10,0)),25)</x:f>
        <x:v>25</x:v>
      </x:c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</x:row>
    <x:row r="112">
      <x:c r="A112" s="12" t="str">
        <x:v>OBS-111</x:v>
      </x:c>
      <x:c r="B112" s="14"/>
      <x:c r="C112" s="12"/>
      <x:c r="D112" s="12"/>
      <x:c r="E112" s="12"/>
      <x:c r="F112" s="12"/>
      <x:c r="G112" s="12"/>
      <x:c r="H112" s="16"/>
      <x:c r="I112" s="16"/>
      <x:c r="J112" s="12"/>
      <x:c r="K112" s="12"/>
      <x:c r="L112" s="12"/>
      <x:c r="M112" s="12"/>
      <x:c r="N112" s="12"/>
      <x:c r="O112" s="12"/>
      <x:c r="P112" s="12"/>
      <x:c r="Q112" s="16"/>
      <x:c r="R112" s="18"/>
      <x:c r="S112" s="18"/>
      <x:c r="T112" s="12" t="n">
        <x:v>220</x:v>
      </x:c>
      <x:c r="U112" s="20" t="n">
        <x:f>IFERROR(INDEX('Role Cost Assumptions'!$B$2:$B$10,MATCH(C112,'Role Cost Assumptions'!$A$2:$A$10,0)),25)</x:f>
        <x:v>25</x:v>
      </x:c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</x:row>
    <x:row r="113">
      <x:c r="A113" s="12" t="str">
        <x:v>OBS-112</x:v>
      </x:c>
      <x:c r="B113" s="14"/>
      <x:c r="C113" s="12"/>
      <x:c r="D113" s="12"/>
      <x:c r="E113" s="12"/>
      <x:c r="F113" s="12"/>
      <x:c r="G113" s="12"/>
      <x:c r="H113" s="16"/>
      <x:c r="I113" s="16"/>
      <x:c r="J113" s="12"/>
      <x:c r="K113" s="12"/>
      <x:c r="L113" s="12"/>
      <x:c r="M113" s="12"/>
      <x:c r="N113" s="12"/>
      <x:c r="O113" s="12"/>
      <x:c r="P113" s="12"/>
      <x:c r="Q113" s="16"/>
      <x:c r="R113" s="18"/>
      <x:c r="S113" s="18"/>
      <x:c r="T113" s="12" t="n">
        <x:v>220</x:v>
      </x:c>
      <x:c r="U113" s="20" t="n">
        <x:f>IFERROR(INDEX('Role Cost Assumptions'!$B$2:$B$10,MATCH(C113,'Role Cost Assumptions'!$A$2:$A$10,0)),25)</x:f>
        <x:v>25</x:v>
      </x:c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</x:row>
    <x:row r="114">
      <x:c r="A114" s="12" t="str">
        <x:v>OBS-113</x:v>
      </x:c>
      <x:c r="B114" s="14"/>
      <x:c r="C114" s="12"/>
      <x:c r="D114" s="12"/>
      <x:c r="E114" s="12"/>
      <x:c r="F114" s="12"/>
      <x:c r="G114" s="12"/>
      <x:c r="H114" s="16"/>
      <x:c r="I114" s="16"/>
      <x:c r="J114" s="12"/>
      <x:c r="K114" s="12"/>
      <x:c r="L114" s="12"/>
      <x:c r="M114" s="12"/>
      <x:c r="N114" s="12"/>
      <x:c r="O114" s="12"/>
      <x:c r="P114" s="12"/>
      <x:c r="Q114" s="16"/>
      <x:c r="R114" s="18"/>
      <x:c r="S114" s="18"/>
      <x:c r="T114" s="12" t="n">
        <x:v>220</x:v>
      </x:c>
      <x:c r="U114" s="20" t="n">
        <x:f>IFERROR(INDEX('Role Cost Assumptions'!$B$2:$B$10,MATCH(C114,'Role Cost Assumptions'!$A$2:$A$10,0)),25)</x:f>
        <x:v>25</x:v>
      </x:c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</x:row>
    <x:row r="115">
      <x:c r="A115" s="12" t="str">
        <x:v>OBS-114</x:v>
      </x:c>
      <x:c r="B115" s="14"/>
      <x:c r="C115" s="12"/>
      <x:c r="D115" s="12"/>
      <x:c r="E115" s="12"/>
      <x:c r="F115" s="12"/>
      <x:c r="G115" s="12"/>
      <x:c r="H115" s="16"/>
      <x:c r="I115" s="16"/>
      <x:c r="J115" s="12"/>
      <x:c r="K115" s="12"/>
      <x:c r="L115" s="12"/>
      <x:c r="M115" s="12"/>
      <x:c r="N115" s="12"/>
      <x:c r="O115" s="12"/>
      <x:c r="P115" s="12"/>
      <x:c r="Q115" s="16"/>
      <x:c r="R115" s="18"/>
      <x:c r="S115" s="18"/>
      <x:c r="T115" s="12" t="n">
        <x:v>220</x:v>
      </x:c>
      <x:c r="U115" s="20" t="n">
        <x:f>IFERROR(INDEX('Role Cost Assumptions'!$B$2:$B$10,MATCH(C115,'Role Cost Assumptions'!$A$2:$A$10,0)),25)</x:f>
        <x:v>25</x:v>
      </x:c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</x:row>
    <x:row r="116">
      <x:c r="A116" s="12" t="str">
        <x:v>OBS-115</x:v>
      </x:c>
      <x:c r="B116" s="14"/>
      <x:c r="C116" s="12"/>
      <x:c r="D116" s="12"/>
      <x:c r="E116" s="12"/>
      <x:c r="F116" s="12"/>
      <x:c r="G116" s="12"/>
      <x:c r="H116" s="16"/>
      <x:c r="I116" s="16"/>
      <x:c r="J116" s="12"/>
      <x:c r="K116" s="12"/>
      <x:c r="L116" s="12"/>
      <x:c r="M116" s="12"/>
      <x:c r="N116" s="12"/>
      <x:c r="O116" s="12"/>
      <x:c r="P116" s="12"/>
      <x:c r="Q116" s="16"/>
      <x:c r="R116" s="18"/>
      <x:c r="S116" s="18"/>
      <x:c r="T116" s="12" t="n">
        <x:v>220</x:v>
      </x:c>
      <x:c r="U116" s="20" t="n">
        <x:f>IFERROR(INDEX('Role Cost Assumptions'!$B$2:$B$10,MATCH(C116,'Role Cost Assumptions'!$A$2:$A$10,0)),25)</x:f>
        <x:v>25</x:v>
      </x:c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</x:row>
    <x:row r="117">
      <x:c r="A117" s="12" t="str">
        <x:v>OBS-116</x:v>
      </x:c>
      <x:c r="B117" s="14"/>
      <x:c r="C117" s="12"/>
      <x:c r="D117" s="12"/>
      <x:c r="E117" s="12"/>
      <x:c r="F117" s="12"/>
      <x:c r="G117" s="12"/>
      <x:c r="H117" s="16"/>
      <x:c r="I117" s="16"/>
      <x:c r="J117" s="12"/>
      <x:c r="K117" s="12"/>
      <x:c r="L117" s="12"/>
      <x:c r="M117" s="12"/>
      <x:c r="N117" s="12"/>
      <x:c r="O117" s="12"/>
      <x:c r="P117" s="12"/>
      <x:c r="Q117" s="16"/>
      <x:c r="R117" s="18"/>
      <x:c r="S117" s="18"/>
      <x:c r="T117" s="12" t="n">
        <x:v>220</x:v>
      </x:c>
      <x:c r="U117" s="20" t="n">
        <x:f>IFERROR(INDEX('Role Cost Assumptions'!$B$2:$B$10,MATCH(C117,'Role Cost Assumptions'!$A$2:$A$10,0)),25)</x:f>
        <x:v>25</x:v>
      </x:c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</x:row>
    <x:row r="118">
      <x:c r="A118" s="12" t="str">
        <x:v>OBS-117</x:v>
      </x:c>
      <x:c r="B118" s="14"/>
      <x:c r="C118" s="12"/>
      <x:c r="D118" s="12"/>
      <x:c r="E118" s="12"/>
      <x:c r="F118" s="12"/>
      <x:c r="G118" s="12"/>
      <x:c r="H118" s="16"/>
      <x:c r="I118" s="16"/>
      <x:c r="J118" s="12"/>
      <x:c r="K118" s="12"/>
      <x:c r="L118" s="12"/>
      <x:c r="M118" s="12"/>
      <x:c r="N118" s="12"/>
      <x:c r="O118" s="12"/>
      <x:c r="P118" s="12"/>
      <x:c r="Q118" s="16"/>
      <x:c r="R118" s="18"/>
      <x:c r="S118" s="18"/>
      <x:c r="T118" s="12" t="n">
        <x:v>220</x:v>
      </x:c>
      <x:c r="U118" s="20" t="n">
        <x:f>IFERROR(INDEX('Role Cost Assumptions'!$B$2:$B$10,MATCH(C118,'Role Cost Assumptions'!$A$2:$A$10,0)),25)</x:f>
        <x:v>25</x:v>
      </x:c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</x:row>
    <x:row r="119">
      <x:c r="A119" s="12" t="str">
        <x:v>OBS-118</x:v>
      </x:c>
      <x:c r="B119" s="14"/>
      <x:c r="C119" s="12"/>
      <x:c r="D119" s="12"/>
      <x:c r="E119" s="12"/>
      <x:c r="F119" s="12"/>
      <x:c r="G119" s="12"/>
      <x:c r="H119" s="16"/>
      <x:c r="I119" s="16"/>
      <x:c r="J119" s="12"/>
      <x:c r="K119" s="12"/>
      <x:c r="L119" s="12"/>
      <x:c r="M119" s="12"/>
      <x:c r="N119" s="12"/>
      <x:c r="O119" s="12"/>
      <x:c r="P119" s="12"/>
      <x:c r="Q119" s="16"/>
      <x:c r="R119" s="18"/>
      <x:c r="S119" s="18"/>
      <x:c r="T119" s="12" t="n">
        <x:v>220</x:v>
      </x:c>
      <x:c r="U119" s="20" t="n">
        <x:f>IFERROR(INDEX('Role Cost Assumptions'!$B$2:$B$10,MATCH(C119,'Role Cost Assumptions'!$A$2:$A$10,0)),25)</x:f>
        <x:v>25</x:v>
      </x:c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</x:row>
    <x:row r="120">
      <x:c r="A120" s="12" t="str">
        <x:v>OBS-119</x:v>
      </x:c>
      <x:c r="B120" s="14"/>
      <x:c r="C120" s="12"/>
      <x:c r="D120" s="12"/>
      <x:c r="E120" s="12"/>
      <x:c r="F120" s="12"/>
      <x:c r="G120" s="12"/>
      <x:c r="H120" s="16"/>
      <x:c r="I120" s="16"/>
      <x:c r="J120" s="12"/>
      <x:c r="K120" s="12"/>
      <x:c r="L120" s="12"/>
      <x:c r="M120" s="12"/>
      <x:c r="N120" s="12"/>
      <x:c r="O120" s="12"/>
      <x:c r="P120" s="12"/>
      <x:c r="Q120" s="16"/>
      <x:c r="R120" s="18"/>
      <x:c r="S120" s="18"/>
      <x:c r="T120" s="12" t="n">
        <x:v>220</x:v>
      </x:c>
      <x:c r="U120" s="20" t="n">
        <x:f>IFERROR(INDEX('Role Cost Assumptions'!$B$2:$B$10,MATCH(C120,'Role Cost Assumptions'!$A$2:$A$10,0)),25)</x:f>
        <x:v>25</x:v>
      </x:c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</x:row>
    <x:row r="121">
      <x:c r="A121" s="12" t="str">
        <x:v>OBS-120</x:v>
      </x:c>
      <x:c r="B121" s="14"/>
      <x:c r="C121" s="12"/>
      <x:c r="D121" s="12"/>
      <x:c r="E121" s="12"/>
      <x:c r="F121" s="12"/>
      <x:c r="G121" s="12"/>
      <x:c r="H121" s="16"/>
      <x:c r="I121" s="16"/>
      <x:c r="J121" s="12"/>
      <x:c r="K121" s="12"/>
      <x:c r="L121" s="12"/>
      <x:c r="M121" s="12"/>
      <x:c r="N121" s="12"/>
      <x:c r="O121" s="12"/>
      <x:c r="P121" s="12"/>
      <x:c r="Q121" s="16"/>
      <x:c r="R121" s="18"/>
      <x:c r="S121" s="18"/>
      <x:c r="T121" s="12" t="n">
        <x:v>220</x:v>
      </x:c>
      <x:c r="U121" s="20" t="n">
        <x:f>IFERROR(INDEX('Role Cost Assumptions'!$B$2:$B$10,MATCH(C121,'Role Cost Assumptions'!$A$2:$A$10,0)),25)</x:f>
        <x:v>25</x:v>
      </x:c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</x:row>
    <x:row r="122">
      <x:c r="A122" s="12" t="str">
        <x:v>OBS-121</x:v>
      </x:c>
      <x:c r="B122" s="14"/>
      <x:c r="C122" s="12"/>
      <x:c r="D122" s="12"/>
      <x:c r="E122" s="12"/>
      <x:c r="F122" s="12"/>
      <x:c r="G122" s="12"/>
      <x:c r="H122" s="16"/>
      <x:c r="I122" s="16"/>
      <x:c r="J122" s="12"/>
      <x:c r="K122" s="12"/>
      <x:c r="L122" s="12"/>
      <x:c r="M122" s="12"/>
      <x:c r="N122" s="12"/>
      <x:c r="O122" s="12"/>
      <x:c r="P122" s="12"/>
      <x:c r="Q122" s="16"/>
      <x:c r="R122" s="18"/>
      <x:c r="S122" s="18"/>
      <x:c r="T122" s="12" t="n">
        <x:v>220</x:v>
      </x:c>
      <x:c r="U122" s="20" t="n">
        <x:f>IFERROR(INDEX('Role Cost Assumptions'!$B$2:$B$10,MATCH(C122,'Role Cost Assumptions'!$A$2:$A$10,0)),25)</x:f>
        <x:v>25</x:v>
      </x:c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</x:row>
    <x:row r="123">
      <x:c r="A123" s="12" t="str">
        <x:v>OBS-122</x:v>
      </x:c>
      <x:c r="B123" s="14"/>
      <x:c r="C123" s="12"/>
      <x:c r="D123" s="12"/>
      <x:c r="E123" s="12"/>
      <x:c r="F123" s="12"/>
      <x:c r="G123" s="12"/>
      <x:c r="H123" s="16"/>
      <x:c r="I123" s="16"/>
      <x:c r="J123" s="12"/>
      <x:c r="K123" s="12"/>
      <x:c r="L123" s="12"/>
      <x:c r="M123" s="12"/>
      <x:c r="N123" s="12"/>
      <x:c r="O123" s="12"/>
      <x:c r="P123" s="12"/>
      <x:c r="Q123" s="16"/>
      <x:c r="R123" s="18"/>
      <x:c r="S123" s="18"/>
      <x:c r="T123" s="12" t="n">
        <x:v>220</x:v>
      </x:c>
      <x:c r="U123" s="20" t="n">
        <x:f>IFERROR(INDEX('Role Cost Assumptions'!$B$2:$B$10,MATCH(C123,'Role Cost Assumptions'!$A$2:$A$10,0)),25)</x:f>
        <x:v>25</x:v>
      </x:c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</x:row>
    <x:row r="124">
      <x:c r="A124" s="12" t="str">
        <x:v>OBS-123</x:v>
      </x:c>
      <x:c r="B124" s="14"/>
      <x:c r="C124" s="12"/>
      <x:c r="D124" s="12"/>
      <x:c r="E124" s="12"/>
      <x:c r="F124" s="12"/>
      <x:c r="G124" s="12"/>
      <x:c r="H124" s="16"/>
      <x:c r="I124" s="16"/>
      <x:c r="J124" s="12"/>
      <x:c r="K124" s="12"/>
      <x:c r="L124" s="12"/>
      <x:c r="M124" s="12"/>
      <x:c r="N124" s="12"/>
      <x:c r="O124" s="12"/>
      <x:c r="P124" s="12"/>
      <x:c r="Q124" s="16"/>
      <x:c r="R124" s="18"/>
      <x:c r="S124" s="18"/>
      <x:c r="T124" s="12" t="n">
        <x:v>220</x:v>
      </x:c>
      <x:c r="U124" s="20" t="n">
        <x:f>IFERROR(INDEX('Role Cost Assumptions'!$B$2:$B$10,MATCH(C124,'Role Cost Assumptions'!$A$2:$A$10,0)),25)</x:f>
        <x:v>25</x:v>
      </x:c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</x:row>
    <x:row r="125">
      <x:c r="A125" s="12" t="str">
        <x:v>OBS-124</x:v>
      </x:c>
      <x:c r="B125" s="14"/>
      <x:c r="C125" s="12"/>
      <x:c r="D125" s="12"/>
      <x:c r="E125" s="12"/>
      <x:c r="F125" s="12"/>
      <x:c r="G125" s="12"/>
      <x:c r="H125" s="16"/>
      <x:c r="I125" s="16"/>
      <x:c r="J125" s="12"/>
      <x:c r="K125" s="12"/>
      <x:c r="L125" s="12"/>
      <x:c r="M125" s="12"/>
      <x:c r="N125" s="12"/>
      <x:c r="O125" s="12"/>
      <x:c r="P125" s="12"/>
      <x:c r="Q125" s="16"/>
      <x:c r="R125" s="18"/>
      <x:c r="S125" s="18"/>
      <x:c r="T125" s="12" t="n">
        <x:v>220</x:v>
      </x:c>
      <x:c r="U125" s="20" t="n">
        <x:f>IFERROR(INDEX('Role Cost Assumptions'!$B$2:$B$10,MATCH(C125,'Role Cost Assumptions'!$A$2:$A$10,0)),25)</x:f>
        <x:v>25</x:v>
      </x:c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</x:row>
    <x:row r="126">
      <x:c r="A126" s="12" t="str">
        <x:v>OBS-125</x:v>
      </x:c>
      <x:c r="B126" s="14"/>
      <x:c r="C126" s="12"/>
      <x:c r="D126" s="12"/>
      <x:c r="E126" s="12"/>
      <x:c r="F126" s="12"/>
      <x:c r="G126" s="12"/>
      <x:c r="H126" s="16"/>
      <x:c r="I126" s="16"/>
      <x:c r="J126" s="12"/>
      <x:c r="K126" s="12"/>
      <x:c r="L126" s="12"/>
      <x:c r="M126" s="12"/>
      <x:c r="N126" s="12"/>
      <x:c r="O126" s="12"/>
      <x:c r="P126" s="12"/>
      <x:c r="Q126" s="16"/>
      <x:c r="R126" s="18"/>
      <x:c r="S126" s="18"/>
      <x:c r="T126" s="12" t="n">
        <x:v>220</x:v>
      </x:c>
      <x:c r="U126" s="20" t="n">
        <x:f>IFERROR(INDEX('Role Cost Assumptions'!$B$2:$B$10,MATCH(C126,'Role Cost Assumptions'!$A$2:$A$10,0)),25)</x:f>
        <x:v>25</x:v>
      </x:c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</x:row>
    <x:row r="127">
      <x:c r="A127" s="12" t="str">
        <x:v>OBS-126</x:v>
      </x:c>
      <x:c r="B127" s="14"/>
      <x:c r="C127" s="12"/>
      <x:c r="D127" s="12"/>
      <x:c r="E127" s="12"/>
      <x:c r="F127" s="12"/>
      <x:c r="G127" s="12"/>
      <x:c r="H127" s="16"/>
      <x:c r="I127" s="16"/>
      <x:c r="J127" s="12"/>
      <x:c r="K127" s="12"/>
      <x:c r="L127" s="12"/>
      <x:c r="M127" s="12"/>
      <x:c r="N127" s="12"/>
      <x:c r="O127" s="12"/>
      <x:c r="P127" s="12"/>
      <x:c r="Q127" s="16"/>
      <x:c r="R127" s="18"/>
      <x:c r="S127" s="18"/>
      <x:c r="T127" s="12" t="n">
        <x:v>220</x:v>
      </x:c>
      <x:c r="U127" s="20" t="n">
        <x:f>IFERROR(INDEX('Role Cost Assumptions'!$B$2:$B$10,MATCH(C127,'Role Cost Assumptions'!$A$2:$A$10,0)),25)</x:f>
        <x:v>25</x:v>
      </x:c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</x:row>
    <x:row r="128">
      <x:c r="A128" s="12" t="str">
        <x:v>OBS-127</x:v>
      </x:c>
      <x:c r="B128" s="14"/>
      <x:c r="C128" s="12"/>
      <x:c r="D128" s="12"/>
      <x:c r="E128" s="12"/>
      <x:c r="F128" s="12"/>
      <x:c r="G128" s="12"/>
      <x:c r="H128" s="16"/>
      <x:c r="I128" s="16"/>
      <x:c r="J128" s="12"/>
      <x:c r="K128" s="12"/>
      <x:c r="L128" s="12"/>
      <x:c r="M128" s="12"/>
      <x:c r="N128" s="12"/>
      <x:c r="O128" s="12"/>
      <x:c r="P128" s="12"/>
      <x:c r="Q128" s="16"/>
      <x:c r="R128" s="18"/>
      <x:c r="S128" s="18"/>
      <x:c r="T128" s="12" t="n">
        <x:v>220</x:v>
      </x:c>
      <x:c r="U128" s="20" t="n">
        <x:f>IFERROR(INDEX('Role Cost Assumptions'!$B$2:$B$10,MATCH(C128,'Role Cost Assumptions'!$A$2:$A$10,0)),25)</x:f>
        <x:v>25</x:v>
      </x:c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</x:row>
    <x:row r="129">
      <x:c r="A129" s="12" t="str">
        <x:v>OBS-128</x:v>
      </x:c>
      <x:c r="B129" s="14"/>
      <x:c r="C129" s="12"/>
      <x:c r="D129" s="12"/>
      <x:c r="E129" s="12"/>
      <x:c r="F129" s="12"/>
      <x:c r="G129" s="12"/>
      <x:c r="H129" s="16"/>
      <x:c r="I129" s="16"/>
      <x:c r="J129" s="12"/>
      <x:c r="K129" s="12"/>
      <x:c r="L129" s="12"/>
      <x:c r="M129" s="12"/>
      <x:c r="N129" s="12"/>
      <x:c r="O129" s="12"/>
      <x:c r="P129" s="12"/>
      <x:c r="Q129" s="16"/>
      <x:c r="R129" s="18"/>
      <x:c r="S129" s="18"/>
      <x:c r="T129" s="12" t="n">
        <x:v>220</x:v>
      </x:c>
      <x:c r="U129" s="20" t="n">
        <x:f>IFERROR(INDEX('Role Cost Assumptions'!$B$2:$B$10,MATCH(C129,'Role Cost Assumptions'!$A$2:$A$10,0)),25)</x:f>
        <x:v>25</x:v>
      </x:c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</x:row>
    <x:row r="130">
      <x:c r="A130" s="12" t="str">
        <x:v>OBS-129</x:v>
      </x:c>
      <x:c r="B130" s="14"/>
      <x:c r="C130" s="12"/>
      <x:c r="D130" s="12"/>
      <x:c r="E130" s="12"/>
      <x:c r="F130" s="12"/>
      <x:c r="G130" s="12"/>
      <x:c r="H130" s="16"/>
      <x:c r="I130" s="16"/>
      <x:c r="J130" s="12"/>
      <x:c r="K130" s="12"/>
      <x:c r="L130" s="12"/>
      <x:c r="M130" s="12"/>
      <x:c r="N130" s="12"/>
      <x:c r="O130" s="12"/>
      <x:c r="P130" s="12"/>
      <x:c r="Q130" s="16"/>
      <x:c r="R130" s="18"/>
      <x:c r="S130" s="18"/>
      <x:c r="T130" s="12" t="n">
        <x:v>220</x:v>
      </x:c>
      <x:c r="U130" s="20" t="n">
        <x:f>IFERROR(INDEX('Role Cost Assumptions'!$B$2:$B$10,MATCH(C130,'Role Cost Assumptions'!$A$2:$A$10,0)),25)</x:f>
        <x:v>25</x:v>
      </x:c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</x:row>
    <x:row r="131">
      <x:c r="A131" s="12" t="str">
        <x:v>OBS-130</x:v>
      </x:c>
      <x:c r="B131" s="14"/>
      <x:c r="C131" s="12"/>
      <x:c r="D131" s="12"/>
      <x:c r="E131" s="12"/>
      <x:c r="F131" s="12"/>
      <x:c r="G131" s="12"/>
      <x:c r="H131" s="16"/>
      <x:c r="I131" s="16"/>
      <x:c r="J131" s="12"/>
      <x:c r="K131" s="12"/>
      <x:c r="L131" s="12"/>
      <x:c r="M131" s="12"/>
      <x:c r="N131" s="12"/>
      <x:c r="O131" s="12"/>
      <x:c r="P131" s="12"/>
      <x:c r="Q131" s="16"/>
      <x:c r="R131" s="18"/>
      <x:c r="S131" s="18"/>
      <x:c r="T131" s="12" t="n">
        <x:v>220</x:v>
      </x:c>
      <x:c r="U131" s="20" t="n">
        <x:f>IFERROR(INDEX('Role Cost Assumptions'!$B$2:$B$10,MATCH(C131,'Role Cost Assumptions'!$A$2:$A$10,0)),25)</x:f>
        <x:v>25</x:v>
      </x:c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</x:row>
    <x:row r="132">
      <x:c r="A132" s="12" t="str">
        <x:v>OBS-131</x:v>
      </x:c>
      <x:c r="B132" s="14"/>
      <x:c r="C132" s="12"/>
      <x:c r="D132" s="12"/>
      <x:c r="E132" s="12"/>
      <x:c r="F132" s="12"/>
      <x:c r="G132" s="12"/>
      <x:c r="H132" s="16"/>
      <x:c r="I132" s="16"/>
      <x:c r="J132" s="12"/>
      <x:c r="K132" s="12"/>
      <x:c r="L132" s="12"/>
      <x:c r="M132" s="12"/>
      <x:c r="N132" s="12"/>
      <x:c r="O132" s="12"/>
      <x:c r="P132" s="12"/>
      <x:c r="Q132" s="16"/>
      <x:c r="R132" s="18"/>
      <x:c r="S132" s="18"/>
      <x:c r="T132" s="12" t="n">
        <x:v>220</x:v>
      </x:c>
      <x:c r="U132" s="20" t="n">
        <x:f>IFERROR(INDEX('Role Cost Assumptions'!$B$2:$B$10,MATCH(C132,'Role Cost Assumptions'!$A$2:$A$10,0)),25)</x:f>
        <x:v>25</x:v>
      </x:c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</x:row>
    <x:row r="133">
      <x:c r="A133" s="12" t="str">
        <x:v>OBS-132</x:v>
      </x:c>
      <x:c r="B133" s="14"/>
      <x:c r="C133" s="12"/>
      <x:c r="D133" s="12"/>
      <x:c r="E133" s="12"/>
      <x:c r="F133" s="12"/>
      <x:c r="G133" s="12"/>
      <x:c r="H133" s="16"/>
      <x:c r="I133" s="16"/>
      <x:c r="J133" s="12"/>
      <x:c r="K133" s="12"/>
      <x:c r="L133" s="12"/>
      <x:c r="M133" s="12"/>
      <x:c r="N133" s="12"/>
      <x:c r="O133" s="12"/>
      <x:c r="P133" s="12"/>
      <x:c r="Q133" s="16"/>
      <x:c r="R133" s="18"/>
      <x:c r="S133" s="18"/>
      <x:c r="T133" s="12" t="n">
        <x:v>220</x:v>
      </x:c>
      <x:c r="U133" s="20" t="n">
        <x:f>IFERROR(INDEX('Role Cost Assumptions'!$B$2:$B$10,MATCH(C133,'Role Cost Assumptions'!$A$2:$A$10,0)),25)</x:f>
        <x:v>25</x:v>
      </x:c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</x:row>
    <x:row r="134">
      <x:c r="A134" s="12" t="str">
        <x:v>OBS-133</x:v>
      </x:c>
      <x:c r="B134" s="14"/>
      <x:c r="C134" s="12"/>
      <x:c r="D134" s="12"/>
      <x:c r="E134" s="12"/>
      <x:c r="F134" s="12"/>
      <x:c r="G134" s="12"/>
      <x:c r="H134" s="16"/>
      <x:c r="I134" s="16"/>
      <x:c r="J134" s="12"/>
      <x:c r="K134" s="12"/>
      <x:c r="L134" s="12"/>
      <x:c r="M134" s="12"/>
      <x:c r="N134" s="12"/>
      <x:c r="O134" s="12"/>
      <x:c r="P134" s="12"/>
      <x:c r="Q134" s="16"/>
      <x:c r="R134" s="18"/>
      <x:c r="S134" s="18"/>
      <x:c r="T134" s="12" t="n">
        <x:v>220</x:v>
      </x:c>
      <x:c r="U134" s="20" t="n">
        <x:f>IFERROR(INDEX('Role Cost Assumptions'!$B$2:$B$10,MATCH(C134,'Role Cost Assumptions'!$A$2:$A$10,0)),25)</x:f>
        <x:v>25</x:v>
      </x:c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</x:row>
    <x:row r="135">
      <x:c r="A135" s="12" t="str">
        <x:v>OBS-134</x:v>
      </x:c>
      <x:c r="B135" s="14"/>
      <x:c r="C135" s="12"/>
      <x:c r="D135" s="12"/>
      <x:c r="E135" s="12"/>
      <x:c r="F135" s="12"/>
      <x:c r="G135" s="12"/>
      <x:c r="H135" s="16"/>
      <x:c r="I135" s="16"/>
      <x:c r="J135" s="12"/>
      <x:c r="K135" s="12"/>
      <x:c r="L135" s="12"/>
      <x:c r="M135" s="12"/>
      <x:c r="N135" s="12"/>
      <x:c r="O135" s="12"/>
      <x:c r="P135" s="12"/>
      <x:c r="Q135" s="16"/>
      <x:c r="R135" s="18"/>
      <x:c r="S135" s="18"/>
      <x:c r="T135" s="12" t="n">
        <x:v>220</x:v>
      </x:c>
      <x:c r="U135" s="20" t="n">
        <x:f>IFERROR(INDEX('Role Cost Assumptions'!$B$2:$B$10,MATCH(C135,'Role Cost Assumptions'!$A$2:$A$10,0)),25)</x:f>
        <x:v>25</x:v>
      </x:c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</x:row>
    <x:row r="136">
      <x:c r="A136" s="12" t="str">
        <x:v>OBS-135</x:v>
      </x:c>
      <x:c r="B136" s="14"/>
      <x:c r="C136" s="12"/>
      <x:c r="D136" s="12"/>
      <x:c r="E136" s="12"/>
      <x:c r="F136" s="12"/>
      <x:c r="G136" s="12"/>
      <x:c r="H136" s="16"/>
      <x:c r="I136" s="16"/>
      <x:c r="J136" s="12"/>
      <x:c r="K136" s="12"/>
      <x:c r="L136" s="12"/>
      <x:c r="M136" s="12"/>
      <x:c r="N136" s="12"/>
      <x:c r="O136" s="12"/>
      <x:c r="P136" s="12"/>
      <x:c r="Q136" s="16"/>
      <x:c r="R136" s="18"/>
      <x:c r="S136" s="18"/>
      <x:c r="T136" s="12" t="n">
        <x:v>220</x:v>
      </x:c>
      <x:c r="U136" s="20" t="n">
        <x:f>IFERROR(INDEX('Role Cost Assumptions'!$B$2:$B$10,MATCH(C136,'Role Cost Assumptions'!$A$2:$A$10,0)),25)</x:f>
        <x:v>25</x:v>
      </x:c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</x:row>
    <x:row r="137">
      <x:c r="A137" s="12" t="str">
        <x:v>OBS-136</x:v>
      </x:c>
      <x:c r="B137" s="14"/>
      <x:c r="C137" s="12"/>
      <x:c r="D137" s="12"/>
      <x:c r="E137" s="12"/>
      <x:c r="F137" s="12"/>
      <x:c r="G137" s="12"/>
      <x:c r="H137" s="16"/>
      <x:c r="I137" s="16"/>
      <x:c r="J137" s="12"/>
      <x:c r="K137" s="12"/>
      <x:c r="L137" s="12"/>
      <x:c r="M137" s="12"/>
      <x:c r="N137" s="12"/>
      <x:c r="O137" s="12"/>
      <x:c r="P137" s="12"/>
      <x:c r="Q137" s="16"/>
      <x:c r="R137" s="18"/>
      <x:c r="S137" s="18"/>
      <x:c r="T137" s="12" t="n">
        <x:v>220</x:v>
      </x:c>
      <x:c r="U137" s="20" t="n">
        <x:f>IFERROR(INDEX('Role Cost Assumptions'!$B$2:$B$10,MATCH(C137,'Role Cost Assumptions'!$A$2:$A$10,0)),25)</x:f>
        <x:v>25</x:v>
      </x:c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</x:row>
    <x:row r="138">
      <x:c r="A138" s="12" t="str">
        <x:v>OBS-137</x:v>
      </x:c>
      <x:c r="B138" s="14"/>
      <x:c r="C138" s="12"/>
      <x:c r="D138" s="12"/>
      <x:c r="E138" s="12"/>
      <x:c r="F138" s="12"/>
      <x:c r="G138" s="12"/>
      <x:c r="H138" s="16"/>
      <x:c r="I138" s="16"/>
      <x:c r="J138" s="12"/>
      <x:c r="K138" s="12"/>
      <x:c r="L138" s="12"/>
      <x:c r="M138" s="12"/>
      <x:c r="N138" s="12"/>
      <x:c r="O138" s="12"/>
      <x:c r="P138" s="12"/>
      <x:c r="Q138" s="16"/>
      <x:c r="R138" s="18"/>
      <x:c r="S138" s="18"/>
      <x:c r="T138" s="12" t="n">
        <x:v>220</x:v>
      </x:c>
      <x:c r="U138" s="20" t="n">
        <x:f>IFERROR(INDEX('Role Cost Assumptions'!$B$2:$B$10,MATCH(C138,'Role Cost Assumptions'!$A$2:$A$10,0)),25)</x:f>
        <x:v>25</x:v>
      </x:c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</x:row>
    <x:row r="139">
      <x:c r="A139" s="12" t="str">
        <x:v>OBS-138</x:v>
      </x:c>
      <x:c r="B139" s="14"/>
      <x:c r="C139" s="12"/>
      <x:c r="D139" s="12"/>
      <x:c r="E139" s="12"/>
      <x:c r="F139" s="12"/>
      <x:c r="G139" s="12"/>
      <x:c r="H139" s="16"/>
      <x:c r="I139" s="16"/>
      <x:c r="J139" s="12"/>
      <x:c r="K139" s="12"/>
      <x:c r="L139" s="12"/>
      <x:c r="M139" s="12"/>
      <x:c r="N139" s="12"/>
      <x:c r="O139" s="12"/>
      <x:c r="P139" s="12"/>
      <x:c r="Q139" s="16"/>
      <x:c r="R139" s="18"/>
      <x:c r="S139" s="18"/>
      <x:c r="T139" s="12" t="n">
        <x:v>220</x:v>
      </x:c>
      <x:c r="U139" s="20" t="n">
        <x:f>IFERROR(INDEX('Role Cost Assumptions'!$B$2:$B$10,MATCH(C139,'Role Cost Assumptions'!$A$2:$A$10,0)),25)</x:f>
        <x:v>25</x:v>
      </x:c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</x:row>
    <x:row r="140">
      <x:c r="A140" s="12" t="str">
        <x:v>OBS-139</x:v>
      </x:c>
      <x:c r="B140" s="14"/>
      <x:c r="C140" s="12"/>
      <x:c r="D140" s="12"/>
      <x:c r="E140" s="12"/>
      <x:c r="F140" s="12"/>
      <x:c r="G140" s="12"/>
      <x:c r="H140" s="16"/>
      <x:c r="I140" s="16"/>
      <x:c r="J140" s="12"/>
      <x:c r="K140" s="12"/>
      <x:c r="L140" s="12"/>
      <x:c r="M140" s="12"/>
      <x:c r="N140" s="12"/>
      <x:c r="O140" s="12"/>
      <x:c r="P140" s="12"/>
      <x:c r="Q140" s="16"/>
      <x:c r="R140" s="18"/>
      <x:c r="S140" s="18"/>
      <x:c r="T140" s="12" t="n">
        <x:v>220</x:v>
      </x:c>
      <x:c r="U140" s="20" t="n">
        <x:f>IFERROR(INDEX('Role Cost Assumptions'!$B$2:$B$10,MATCH(C140,'Role Cost Assumptions'!$A$2:$A$10,0)),25)</x:f>
        <x:v>25</x:v>
      </x:c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</x:row>
    <x:row r="141">
      <x:c r="A141" s="12" t="str">
        <x:v>OBS-140</x:v>
      </x:c>
      <x:c r="B141" s="14"/>
      <x:c r="C141" s="12"/>
      <x:c r="D141" s="12"/>
      <x:c r="E141" s="12"/>
      <x:c r="F141" s="12"/>
      <x:c r="G141" s="12"/>
      <x:c r="H141" s="16"/>
      <x:c r="I141" s="16"/>
      <x:c r="J141" s="12"/>
      <x:c r="K141" s="12"/>
      <x:c r="L141" s="12"/>
      <x:c r="M141" s="12"/>
      <x:c r="N141" s="12"/>
      <x:c r="O141" s="12"/>
      <x:c r="P141" s="12"/>
      <x:c r="Q141" s="16"/>
      <x:c r="R141" s="18"/>
      <x:c r="S141" s="18"/>
      <x:c r="T141" s="12" t="n">
        <x:v>220</x:v>
      </x:c>
      <x:c r="U141" s="20" t="n">
        <x:f>IFERROR(INDEX('Role Cost Assumptions'!$B$2:$B$10,MATCH(C141,'Role Cost Assumptions'!$A$2:$A$10,0)),25)</x:f>
        <x:v>25</x:v>
      </x:c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</x:row>
    <x:row r="142">
      <x:c r="A142" s="12" t="str">
        <x:v>OBS-141</x:v>
      </x:c>
      <x:c r="B142" s="14"/>
      <x:c r="C142" s="12"/>
      <x:c r="D142" s="12"/>
      <x:c r="E142" s="12"/>
      <x:c r="F142" s="12"/>
      <x:c r="G142" s="12"/>
      <x:c r="H142" s="16"/>
      <x:c r="I142" s="16"/>
      <x:c r="J142" s="12"/>
      <x:c r="K142" s="12"/>
      <x:c r="L142" s="12"/>
      <x:c r="M142" s="12"/>
      <x:c r="N142" s="12"/>
      <x:c r="O142" s="12"/>
      <x:c r="P142" s="12"/>
      <x:c r="Q142" s="16"/>
      <x:c r="R142" s="18"/>
      <x:c r="S142" s="18"/>
      <x:c r="T142" s="12" t="n">
        <x:v>220</x:v>
      </x:c>
      <x:c r="U142" s="20" t="n">
        <x:f>IFERROR(INDEX('Role Cost Assumptions'!$B$2:$B$10,MATCH(C142,'Role Cost Assumptions'!$A$2:$A$10,0)),25)</x:f>
        <x:v>25</x:v>
      </x:c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</x:row>
    <x:row r="143">
      <x:c r="A143" s="12" t="str">
        <x:v>OBS-142</x:v>
      </x:c>
      <x:c r="B143" s="14"/>
      <x:c r="C143" s="12"/>
      <x:c r="D143" s="12"/>
      <x:c r="E143" s="12"/>
      <x:c r="F143" s="12"/>
      <x:c r="G143" s="12"/>
      <x:c r="H143" s="16"/>
      <x:c r="I143" s="16"/>
      <x:c r="J143" s="12"/>
      <x:c r="K143" s="12"/>
      <x:c r="L143" s="12"/>
      <x:c r="M143" s="12"/>
      <x:c r="N143" s="12"/>
      <x:c r="O143" s="12"/>
      <x:c r="P143" s="12"/>
      <x:c r="Q143" s="16"/>
      <x:c r="R143" s="18"/>
      <x:c r="S143" s="18"/>
      <x:c r="T143" s="12" t="n">
        <x:v>220</x:v>
      </x:c>
      <x:c r="U143" s="20" t="n">
        <x:f>IFERROR(INDEX('Role Cost Assumptions'!$B$2:$B$10,MATCH(C143,'Role Cost Assumptions'!$A$2:$A$10,0)),25)</x:f>
        <x:v>25</x:v>
      </x:c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</x:row>
    <x:row r="144">
      <x:c r="A144" s="12" t="str">
        <x:v>OBS-143</x:v>
      </x:c>
      <x:c r="B144" s="14"/>
      <x:c r="C144" s="12"/>
      <x:c r="D144" s="12"/>
      <x:c r="E144" s="12"/>
      <x:c r="F144" s="12"/>
      <x:c r="G144" s="12"/>
      <x:c r="H144" s="16"/>
      <x:c r="I144" s="16"/>
      <x:c r="J144" s="12"/>
      <x:c r="K144" s="12"/>
      <x:c r="L144" s="12"/>
      <x:c r="M144" s="12"/>
      <x:c r="N144" s="12"/>
      <x:c r="O144" s="12"/>
      <x:c r="P144" s="12"/>
      <x:c r="Q144" s="16"/>
      <x:c r="R144" s="18"/>
      <x:c r="S144" s="18"/>
      <x:c r="T144" s="12" t="n">
        <x:v>220</x:v>
      </x:c>
      <x:c r="U144" s="20" t="n">
        <x:f>IFERROR(INDEX('Role Cost Assumptions'!$B$2:$B$10,MATCH(C144,'Role Cost Assumptions'!$A$2:$A$10,0)),25)</x:f>
        <x:v>25</x:v>
      </x:c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</x:row>
    <x:row r="145">
      <x:c r="A145" s="12" t="str">
        <x:v>OBS-144</x:v>
      </x:c>
      <x:c r="B145" s="14"/>
      <x:c r="C145" s="12"/>
      <x:c r="D145" s="12"/>
      <x:c r="E145" s="12"/>
      <x:c r="F145" s="12"/>
      <x:c r="G145" s="12"/>
      <x:c r="H145" s="16"/>
      <x:c r="I145" s="16"/>
      <x:c r="J145" s="12"/>
      <x:c r="K145" s="12"/>
      <x:c r="L145" s="12"/>
      <x:c r="M145" s="12"/>
      <x:c r="N145" s="12"/>
      <x:c r="O145" s="12"/>
      <x:c r="P145" s="12"/>
      <x:c r="Q145" s="16"/>
      <x:c r="R145" s="18"/>
      <x:c r="S145" s="18"/>
      <x:c r="T145" s="12" t="n">
        <x:v>220</x:v>
      </x:c>
      <x:c r="U145" s="20" t="n">
        <x:f>IFERROR(INDEX('Role Cost Assumptions'!$B$2:$B$10,MATCH(C145,'Role Cost Assumptions'!$A$2:$A$10,0)),25)</x:f>
        <x:v>25</x:v>
      </x:c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</x:row>
    <x:row r="146">
      <x:c r="A146" s="12" t="str">
        <x:v>OBS-145</x:v>
      </x:c>
      <x:c r="B146" s="14"/>
      <x:c r="C146" s="12"/>
      <x:c r="D146" s="12"/>
      <x:c r="E146" s="12"/>
      <x:c r="F146" s="12"/>
      <x:c r="G146" s="12"/>
      <x:c r="H146" s="16"/>
      <x:c r="I146" s="16"/>
      <x:c r="J146" s="12"/>
      <x:c r="K146" s="12"/>
      <x:c r="L146" s="12"/>
      <x:c r="M146" s="12"/>
      <x:c r="N146" s="12"/>
      <x:c r="O146" s="12"/>
      <x:c r="P146" s="12"/>
      <x:c r="Q146" s="16"/>
      <x:c r="R146" s="18"/>
      <x:c r="S146" s="18"/>
      <x:c r="T146" s="12" t="n">
        <x:v>220</x:v>
      </x:c>
      <x:c r="U146" s="20" t="n">
        <x:f>IFERROR(INDEX('Role Cost Assumptions'!$B$2:$B$10,MATCH(C146,'Role Cost Assumptions'!$A$2:$A$10,0)),25)</x:f>
        <x:v>25</x:v>
      </x:c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</x:row>
    <x:row r="147">
      <x:c r="A147" s="12" t="str">
        <x:v>OBS-146</x:v>
      </x:c>
      <x:c r="B147" s="14"/>
      <x:c r="C147" s="12"/>
      <x:c r="D147" s="12"/>
      <x:c r="E147" s="12"/>
      <x:c r="F147" s="12"/>
      <x:c r="G147" s="12"/>
      <x:c r="H147" s="16"/>
      <x:c r="I147" s="16"/>
      <x:c r="J147" s="12"/>
      <x:c r="K147" s="12"/>
      <x:c r="L147" s="12"/>
      <x:c r="M147" s="12"/>
      <x:c r="N147" s="12"/>
      <x:c r="O147" s="12"/>
      <x:c r="P147" s="12"/>
      <x:c r="Q147" s="16"/>
      <x:c r="R147" s="18"/>
      <x:c r="S147" s="18"/>
      <x:c r="T147" s="12" t="n">
        <x:v>220</x:v>
      </x:c>
      <x:c r="U147" s="20" t="n">
        <x:f>IFERROR(INDEX('Role Cost Assumptions'!$B$2:$B$10,MATCH(C147,'Role Cost Assumptions'!$A$2:$A$10,0)),25)</x:f>
        <x:v>25</x:v>
      </x:c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</x:row>
    <x:row r="148">
      <x:c r="A148" s="12" t="str">
        <x:v>OBS-147</x:v>
      </x:c>
      <x:c r="B148" s="14"/>
      <x:c r="C148" s="12"/>
      <x:c r="D148" s="12"/>
      <x:c r="E148" s="12"/>
      <x:c r="F148" s="12"/>
      <x:c r="G148" s="12"/>
      <x:c r="H148" s="16"/>
      <x:c r="I148" s="16"/>
      <x:c r="J148" s="12"/>
      <x:c r="K148" s="12"/>
      <x:c r="L148" s="12"/>
      <x:c r="M148" s="12"/>
      <x:c r="N148" s="12"/>
      <x:c r="O148" s="12"/>
      <x:c r="P148" s="12"/>
      <x:c r="Q148" s="16"/>
      <x:c r="R148" s="18"/>
      <x:c r="S148" s="18"/>
      <x:c r="T148" s="12" t="n">
        <x:v>220</x:v>
      </x:c>
      <x:c r="U148" s="20" t="n">
        <x:f>IFERROR(INDEX('Role Cost Assumptions'!$B$2:$B$10,MATCH(C148,'Role Cost Assumptions'!$A$2:$A$10,0)),25)</x:f>
        <x:v>25</x:v>
      </x:c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</x:row>
    <x:row r="149">
      <x:c r="A149" s="12" t="str">
        <x:v>OBS-148</x:v>
      </x:c>
      <x:c r="B149" s="14"/>
      <x:c r="C149" s="12"/>
      <x:c r="D149" s="12"/>
      <x:c r="E149" s="12"/>
      <x:c r="F149" s="12"/>
      <x:c r="G149" s="12"/>
      <x:c r="H149" s="16"/>
      <x:c r="I149" s="16"/>
      <x:c r="J149" s="12"/>
      <x:c r="K149" s="12"/>
      <x:c r="L149" s="12"/>
      <x:c r="M149" s="12"/>
      <x:c r="N149" s="12"/>
      <x:c r="O149" s="12"/>
      <x:c r="P149" s="12"/>
      <x:c r="Q149" s="16"/>
      <x:c r="R149" s="18"/>
      <x:c r="S149" s="18"/>
      <x:c r="T149" s="12" t="n">
        <x:v>220</x:v>
      </x:c>
      <x:c r="U149" s="20" t="n">
        <x:f>IFERROR(INDEX('Role Cost Assumptions'!$B$2:$B$10,MATCH(C149,'Role Cost Assumptions'!$A$2:$A$10,0)),25)</x:f>
        <x:v>25</x:v>
      </x:c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</x:row>
    <x:row r="150">
      <x:c r="A150" s="12" t="str">
        <x:v>OBS-149</x:v>
      </x:c>
      <x:c r="B150" s="14"/>
      <x:c r="C150" s="12"/>
      <x:c r="D150" s="12"/>
      <x:c r="E150" s="12"/>
      <x:c r="F150" s="12"/>
      <x:c r="G150" s="12"/>
      <x:c r="H150" s="16"/>
      <x:c r="I150" s="16"/>
      <x:c r="J150" s="12"/>
      <x:c r="K150" s="12"/>
      <x:c r="L150" s="12"/>
      <x:c r="M150" s="12"/>
      <x:c r="N150" s="12"/>
      <x:c r="O150" s="12"/>
      <x:c r="P150" s="12"/>
      <x:c r="Q150" s="16"/>
      <x:c r="R150" s="18"/>
      <x:c r="S150" s="18"/>
      <x:c r="T150" s="12" t="n">
        <x:v>220</x:v>
      </x:c>
      <x:c r="U150" s="20" t="n">
        <x:f>IFERROR(INDEX('Role Cost Assumptions'!$B$2:$B$10,MATCH(C150,'Role Cost Assumptions'!$A$2:$A$10,0)),25)</x:f>
        <x:v>25</x:v>
      </x:c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</x:row>
    <x:row r="151">
      <x:c r="A151" s="12" t="str">
        <x:v>OBS-150</x:v>
      </x:c>
      <x:c r="B151" s="14"/>
      <x:c r="C151" s="12"/>
      <x:c r="D151" s="12"/>
      <x:c r="E151" s="12"/>
      <x:c r="F151" s="12"/>
      <x:c r="G151" s="12"/>
      <x:c r="H151" s="16"/>
      <x:c r="I151" s="16"/>
      <x:c r="J151" s="12"/>
      <x:c r="K151" s="12"/>
      <x:c r="L151" s="12"/>
      <x:c r="M151" s="12"/>
      <x:c r="N151" s="12"/>
      <x:c r="O151" s="12"/>
      <x:c r="P151" s="12"/>
      <x:c r="Q151" s="16"/>
      <x:c r="R151" s="18"/>
      <x:c r="S151" s="18"/>
      <x:c r="T151" s="12" t="n">
        <x:v>220</x:v>
      </x:c>
      <x:c r="U151" s="20" t="n">
        <x:f>IFERROR(INDEX('Role Cost Assumptions'!$B$2:$B$10,MATCH(C151,'Role Cost Assumptions'!$A$2:$A$10,0)),25)</x:f>
        <x:v>25</x:v>
      </x:c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</x:row>
    <x:row r="152">
      <x:c r="A152" s="12" t="str">
        <x:v>OBS-151</x:v>
      </x:c>
      <x:c r="B152" s="14"/>
      <x:c r="C152" s="12"/>
      <x:c r="D152" s="12"/>
      <x:c r="E152" s="12"/>
      <x:c r="F152" s="12"/>
      <x:c r="G152" s="12"/>
      <x:c r="H152" s="16"/>
      <x:c r="I152" s="16"/>
      <x:c r="J152" s="12"/>
      <x:c r="K152" s="12"/>
      <x:c r="L152" s="12"/>
      <x:c r="M152" s="12"/>
      <x:c r="N152" s="12"/>
      <x:c r="O152" s="12"/>
      <x:c r="P152" s="12"/>
      <x:c r="Q152" s="16"/>
      <x:c r="R152" s="18"/>
      <x:c r="S152" s="18"/>
      <x:c r="T152" s="12" t="n">
        <x:v>220</x:v>
      </x:c>
      <x:c r="U152" s="20" t="n">
        <x:f>IFERROR(INDEX('Role Cost Assumptions'!$B$2:$B$10,MATCH(C152,'Role Cost Assumptions'!$A$2:$A$10,0)),25)</x:f>
        <x:v>25</x:v>
      </x:c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</x:row>
    <x:row r="153">
      <x:c r="A153" s="12" t="str">
        <x:v>OBS-152</x:v>
      </x:c>
      <x:c r="B153" s="14"/>
      <x:c r="C153" s="12"/>
      <x:c r="D153" s="12"/>
      <x:c r="E153" s="12"/>
      <x:c r="F153" s="12"/>
      <x:c r="G153" s="12"/>
      <x:c r="H153" s="16"/>
      <x:c r="I153" s="16"/>
      <x:c r="J153" s="12"/>
      <x:c r="K153" s="12"/>
      <x:c r="L153" s="12"/>
      <x:c r="M153" s="12"/>
      <x:c r="N153" s="12"/>
      <x:c r="O153" s="12"/>
      <x:c r="P153" s="12"/>
      <x:c r="Q153" s="16"/>
      <x:c r="R153" s="18"/>
      <x:c r="S153" s="18"/>
      <x:c r="T153" s="12" t="n">
        <x:v>220</x:v>
      </x:c>
      <x:c r="U153" s="20" t="n">
        <x:f>IFERROR(INDEX('Role Cost Assumptions'!$B$2:$B$10,MATCH(C153,'Role Cost Assumptions'!$A$2:$A$10,0)),25)</x:f>
        <x:v>25</x:v>
      </x:c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</x:row>
    <x:row r="154">
      <x:c r="A154" s="12" t="str">
        <x:v>OBS-153</x:v>
      </x:c>
      <x:c r="B154" s="14"/>
      <x:c r="C154" s="12"/>
      <x:c r="D154" s="12"/>
      <x:c r="E154" s="12"/>
      <x:c r="F154" s="12"/>
      <x:c r="G154" s="12"/>
      <x:c r="H154" s="16"/>
      <x:c r="I154" s="16"/>
      <x:c r="J154" s="12"/>
      <x:c r="K154" s="12"/>
      <x:c r="L154" s="12"/>
      <x:c r="M154" s="12"/>
      <x:c r="N154" s="12"/>
      <x:c r="O154" s="12"/>
      <x:c r="P154" s="12"/>
      <x:c r="Q154" s="16"/>
      <x:c r="R154" s="18"/>
      <x:c r="S154" s="18"/>
      <x:c r="T154" s="12" t="n">
        <x:v>220</x:v>
      </x:c>
      <x:c r="U154" s="20" t="n">
        <x:f>IFERROR(INDEX('Role Cost Assumptions'!$B$2:$B$10,MATCH(C154,'Role Cost Assumptions'!$A$2:$A$10,0)),25)</x:f>
        <x:v>25</x:v>
      </x:c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</x:row>
    <x:row r="155">
      <x:c r="A155" s="12" t="str">
        <x:v>OBS-154</x:v>
      </x:c>
      <x:c r="B155" s="14"/>
      <x:c r="C155" s="12"/>
      <x:c r="D155" s="12"/>
      <x:c r="E155" s="12"/>
      <x:c r="F155" s="12"/>
      <x:c r="G155" s="12"/>
      <x:c r="H155" s="16"/>
      <x:c r="I155" s="16"/>
      <x:c r="J155" s="12"/>
      <x:c r="K155" s="12"/>
      <x:c r="L155" s="12"/>
      <x:c r="M155" s="12"/>
      <x:c r="N155" s="12"/>
      <x:c r="O155" s="12"/>
      <x:c r="P155" s="12"/>
      <x:c r="Q155" s="16"/>
      <x:c r="R155" s="18"/>
      <x:c r="S155" s="18"/>
      <x:c r="T155" s="12" t="n">
        <x:v>220</x:v>
      </x:c>
      <x:c r="U155" s="20" t="n">
        <x:f>IFERROR(INDEX('Role Cost Assumptions'!$B$2:$B$10,MATCH(C155,'Role Cost Assumptions'!$A$2:$A$10,0)),25)</x:f>
        <x:v>25</x:v>
      </x:c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</x:row>
    <x:row r="156">
      <x:c r="A156" s="12" t="str">
        <x:v>OBS-155</x:v>
      </x:c>
      <x:c r="B156" s="14"/>
      <x:c r="C156" s="12"/>
      <x:c r="D156" s="12"/>
      <x:c r="E156" s="12"/>
      <x:c r="F156" s="12"/>
      <x:c r="G156" s="12"/>
      <x:c r="H156" s="16"/>
      <x:c r="I156" s="16"/>
      <x:c r="J156" s="12"/>
      <x:c r="K156" s="12"/>
      <x:c r="L156" s="12"/>
      <x:c r="M156" s="12"/>
      <x:c r="N156" s="12"/>
      <x:c r="O156" s="12"/>
      <x:c r="P156" s="12"/>
      <x:c r="Q156" s="16"/>
      <x:c r="R156" s="18"/>
      <x:c r="S156" s="18"/>
      <x:c r="T156" s="12" t="n">
        <x:v>220</x:v>
      </x:c>
      <x:c r="U156" s="20" t="n">
        <x:f>IFERROR(INDEX('Role Cost Assumptions'!$B$2:$B$10,MATCH(C156,'Role Cost Assumptions'!$A$2:$A$10,0)),25)</x:f>
        <x:v>25</x:v>
      </x:c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</x:row>
    <x:row r="157">
      <x:c r="A157" s="12" t="str">
        <x:v>OBS-156</x:v>
      </x:c>
      <x:c r="B157" s="14"/>
      <x:c r="C157" s="12"/>
      <x:c r="D157" s="12"/>
      <x:c r="E157" s="12"/>
      <x:c r="F157" s="12"/>
      <x:c r="G157" s="12"/>
      <x:c r="H157" s="16"/>
      <x:c r="I157" s="16"/>
      <x:c r="J157" s="12"/>
      <x:c r="K157" s="12"/>
      <x:c r="L157" s="12"/>
      <x:c r="M157" s="12"/>
      <x:c r="N157" s="12"/>
      <x:c r="O157" s="12"/>
      <x:c r="P157" s="12"/>
      <x:c r="Q157" s="16"/>
      <x:c r="R157" s="18"/>
      <x:c r="S157" s="18"/>
      <x:c r="T157" s="12" t="n">
        <x:v>220</x:v>
      </x:c>
      <x:c r="U157" s="20" t="n">
        <x:f>IFERROR(INDEX('Role Cost Assumptions'!$B$2:$B$10,MATCH(C157,'Role Cost Assumptions'!$A$2:$A$10,0)),25)</x:f>
        <x:v>25</x:v>
      </x:c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</x:row>
    <x:row r="158">
      <x:c r="A158" s="12" t="str">
        <x:v>OBS-157</x:v>
      </x:c>
      <x:c r="B158" s="14"/>
      <x:c r="C158" s="12"/>
      <x:c r="D158" s="12"/>
      <x:c r="E158" s="12"/>
      <x:c r="F158" s="12"/>
      <x:c r="G158" s="12"/>
      <x:c r="H158" s="16"/>
      <x:c r="I158" s="16"/>
      <x:c r="J158" s="12"/>
      <x:c r="K158" s="12"/>
      <x:c r="L158" s="12"/>
      <x:c r="M158" s="12"/>
      <x:c r="N158" s="12"/>
      <x:c r="O158" s="12"/>
      <x:c r="P158" s="12"/>
      <x:c r="Q158" s="16"/>
      <x:c r="R158" s="18"/>
      <x:c r="S158" s="18"/>
      <x:c r="T158" s="12" t="n">
        <x:v>220</x:v>
      </x:c>
      <x:c r="U158" s="20" t="n">
        <x:f>IFERROR(INDEX('Role Cost Assumptions'!$B$2:$B$10,MATCH(C158,'Role Cost Assumptions'!$A$2:$A$10,0)),25)</x:f>
        <x:v>25</x:v>
      </x:c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</x:row>
    <x:row r="159">
      <x:c r="A159" s="12" t="str">
        <x:v>OBS-158</x:v>
      </x:c>
      <x:c r="B159" s="14"/>
      <x:c r="C159" s="12"/>
      <x:c r="D159" s="12"/>
      <x:c r="E159" s="12"/>
      <x:c r="F159" s="12"/>
      <x:c r="G159" s="12"/>
      <x:c r="H159" s="16"/>
      <x:c r="I159" s="16"/>
      <x:c r="J159" s="12"/>
      <x:c r="K159" s="12"/>
      <x:c r="L159" s="12"/>
      <x:c r="M159" s="12"/>
      <x:c r="N159" s="12"/>
      <x:c r="O159" s="12"/>
      <x:c r="P159" s="12"/>
      <x:c r="Q159" s="16"/>
      <x:c r="R159" s="18"/>
      <x:c r="S159" s="18"/>
      <x:c r="T159" s="12" t="n">
        <x:v>220</x:v>
      </x:c>
      <x:c r="U159" s="20" t="n">
        <x:f>IFERROR(INDEX('Role Cost Assumptions'!$B$2:$B$10,MATCH(C159,'Role Cost Assumptions'!$A$2:$A$10,0)),25)</x:f>
        <x:v>25</x:v>
      </x:c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</x:row>
    <x:row r="160">
      <x:c r="A160" s="12" t="str">
        <x:v>OBS-159</x:v>
      </x:c>
      <x:c r="B160" s="14"/>
      <x:c r="C160" s="12"/>
      <x:c r="D160" s="12"/>
      <x:c r="E160" s="12"/>
      <x:c r="F160" s="12"/>
      <x:c r="G160" s="12"/>
      <x:c r="H160" s="16"/>
      <x:c r="I160" s="16"/>
      <x:c r="J160" s="12"/>
      <x:c r="K160" s="12"/>
      <x:c r="L160" s="12"/>
      <x:c r="M160" s="12"/>
      <x:c r="N160" s="12"/>
      <x:c r="O160" s="12"/>
      <x:c r="P160" s="12"/>
      <x:c r="Q160" s="16"/>
      <x:c r="R160" s="18"/>
      <x:c r="S160" s="18"/>
      <x:c r="T160" s="12" t="n">
        <x:v>220</x:v>
      </x:c>
      <x:c r="U160" s="20" t="n">
        <x:f>IFERROR(INDEX('Role Cost Assumptions'!$B$2:$B$10,MATCH(C160,'Role Cost Assumptions'!$A$2:$A$10,0)),25)</x:f>
        <x:v>25</x:v>
      </x:c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</x:row>
    <x:row r="161">
      <x:c r="A161" s="12" t="str">
        <x:v>OBS-160</x:v>
      </x:c>
      <x:c r="B161" s="14"/>
      <x:c r="C161" s="12"/>
      <x:c r="D161" s="12"/>
      <x:c r="E161" s="12"/>
      <x:c r="F161" s="12"/>
      <x:c r="G161" s="12"/>
      <x:c r="H161" s="16"/>
      <x:c r="I161" s="16"/>
      <x:c r="J161" s="12"/>
      <x:c r="K161" s="12"/>
      <x:c r="L161" s="12"/>
      <x:c r="M161" s="12"/>
      <x:c r="N161" s="12"/>
      <x:c r="O161" s="12"/>
      <x:c r="P161" s="12"/>
      <x:c r="Q161" s="16"/>
      <x:c r="R161" s="18"/>
      <x:c r="S161" s="18"/>
      <x:c r="T161" s="12" t="n">
        <x:v>220</x:v>
      </x:c>
      <x:c r="U161" s="20" t="n">
        <x:f>IFERROR(INDEX('Role Cost Assumptions'!$B$2:$B$10,MATCH(C161,'Role Cost Assumptions'!$A$2:$A$10,0)),25)</x:f>
        <x:v>25</x:v>
      </x:c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</x:row>
    <x:row r="162">
      <x:c r="A162" s="12" t="str">
        <x:v>OBS-161</x:v>
      </x:c>
      <x:c r="B162" s="14"/>
      <x:c r="C162" s="12"/>
      <x:c r="D162" s="12"/>
      <x:c r="E162" s="12"/>
      <x:c r="F162" s="12"/>
      <x:c r="G162" s="12"/>
      <x:c r="H162" s="16"/>
      <x:c r="I162" s="16"/>
      <x:c r="J162" s="12"/>
      <x:c r="K162" s="12"/>
      <x:c r="L162" s="12"/>
      <x:c r="M162" s="12"/>
      <x:c r="N162" s="12"/>
      <x:c r="O162" s="12"/>
      <x:c r="P162" s="12"/>
      <x:c r="Q162" s="16"/>
      <x:c r="R162" s="18"/>
      <x:c r="S162" s="18"/>
      <x:c r="T162" s="12" t="n">
        <x:v>220</x:v>
      </x:c>
      <x:c r="U162" s="20" t="n">
        <x:f>IFERROR(INDEX('Role Cost Assumptions'!$B$2:$B$10,MATCH(C162,'Role Cost Assumptions'!$A$2:$A$10,0)),25)</x:f>
        <x:v>25</x:v>
      </x:c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</x:row>
    <x:row r="163">
      <x:c r="A163" s="12" t="str">
        <x:v>OBS-162</x:v>
      </x:c>
      <x:c r="B163" s="14"/>
      <x:c r="C163" s="12"/>
      <x:c r="D163" s="12"/>
      <x:c r="E163" s="12"/>
      <x:c r="F163" s="12"/>
      <x:c r="G163" s="12"/>
      <x:c r="H163" s="16"/>
      <x:c r="I163" s="16"/>
      <x:c r="J163" s="12"/>
      <x:c r="K163" s="12"/>
      <x:c r="L163" s="12"/>
      <x:c r="M163" s="12"/>
      <x:c r="N163" s="12"/>
      <x:c r="O163" s="12"/>
      <x:c r="P163" s="12"/>
      <x:c r="Q163" s="16"/>
      <x:c r="R163" s="18"/>
      <x:c r="S163" s="18"/>
      <x:c r="T163" s="12" t="n">
        <x:v>220</x:v>
      </x:c>
      <x:c r="U163" s="20" t="n">
        <x:f>IFERROR(INDEX('Role Cost Assumptions'!$B$2:$B$10,MATCH(C163,'Role Cost Assumptions'!$A$2:$A$10,0)),25)</x:f>
        <x:v>25</x:v>
      </x:c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</x:row>
    <x:row r="164">
      <x:c r="A164" s="12" t="str">
        <x:v>OBS-163</x:v>
      </x:c>
      <x:c r="B164" s="14"/>
      <x:c r="C164" s="12"/>
      <x:c r="D164" s="12"/>
      <x:c r="E164" s="12"/>
      <x:c r="F164" s="12"/>
      <x:c r="G164" s="12"/>
      <x:c r="H164" s="16"/>
      <x:c r="I164" s="16"/>
      <x:c r="J164" s="12"/>
      <x:c r="K164" s="12"/>
      <x:c r="L164" s="12"/>
      <x:c r="M164" s="12"/>
      <x:c r="N164" s="12"/>
      <x:c r="O164" s="12"/>
      <x:c r="P164" s="12"/>
      <x:c r="Q164" s="16"/>
      <x:c r="R164" s="18"/>
      <x:c r="S164" s="18"/>
      <x:c r="T164" s="12" t="n">
        <x:v>220</x:v>
      </x:c>
      <x:c r="U164" s="20" t="n">
        <x:f>IFERROR(INDEX('Role Cost Assumptions'!$B$2:$B$10,MATCH(C164,'Role Cost Assumptions'!$A$2:$A$10,0)),25)</x:f>
        <x:v>25</x:v>
      </x:c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</x:row>
    <x:row r="165">
      <x:c r="A165" s="12" t="str">
        <x:v>OBS-164</x:v>
      </x:c>
      <x:c r="B165" s="14"/>
      <x:c r="C165" s="12"/>
      <x:c r="D165" s="12"/>
      <x:c r="E165" s="12"/>
      <x:c r="F165" s="12"/>
      <x:c r="G165" s="12"/>
      <x:c r="H165" s="16"/>
      <x:c r="I165" s="16"/>
      <x:c r="J165" s="12"/>
      <x:c r="K165" s="12"/>
      <x:c r="L165" s="12"/>
      <x:c r="M165" s="12"/>
      <x:c r="N165" s="12"/>
      <x:c r="O165" s="12"/>
      <x:c r="P165" s="12"/>
      <x:c r="Q165" s="16"/>
      <x:c r="R165" s="18"/>
      <x:c r="S165" s="18"/>
      <x:c r="T165" s="12" t="n">
        <x:v>220</x:v>
      </x:c>
      <x:c r="U165" s="20" t="n">
        <x:f>IFERROR(INDEX('Role Cost Assumptions'!$B$2:$B$10,MATCH(C165,'Role Cost Assumptions'!$A$2:$A$10,0)),25)</x:f>
        <x:v>25</x:v>
      </x:c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</x:row>
    <x:row r="166">
      <x:c r="A166" s="12" t="str">
        <x:v>OBS-165</x:v>
      </x:c>
      <x:c r="B166" s="14"/>
      <x:c r="C166" s="12"/>
      <x:c r="D166" s="12"/>
      <x:c r="E166" s="12"/>
      <x:c r="F166" s="12"/>
      <x:c r="G166" s="12"/>
      <x:c r="H166" s="16"/>
      <x:c r="I166" s="16"/>
      <x:c r="J166" s="12"/>
      <x:c r="K166" s="12"/>
      <x:c r="L166" s="12"/>
      <x:c r="M166" s="12"/>
      <x:c r="N166" s="12"/>
      <x:c r="O166" s="12"/>
      <x:c r="P166" s="12"/>
      <x:c r="Q166" s="16"/>
      <x:c r="R166" s="18"/>
      <x:c r="S166" s="18"/>
      <x:c r="T166" s="12" t="n">
        <x:v>220</x:v>
      </x:c>
      <x:c r="U166" s="20" t="n">
        <x:f>IFERROR(INDEX('Role Cost Assumptions'!$B$2:$B$10,MATCH(C166,'Role Cost Assumptions'!$A$2:$A$10,0)),25)</x:f>
        <x:v>25</x:v>
      </x:c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</x:row>
    <x:row r="167">
      <x:c r="A167" s="12" t="str">
        <x:v>OBS-166</x:v>
      </x:c>
      <x:c r="B167" s="14"/>
      <x:c r="C167" s="12"/>
      <x:c r="D167" s="12"/>
      <x:c r="E167" s="12"/>
      <x:c r="F167" s="12"/>
      <x:c r="G167" s="12"/>
      <x:c r="H167" s="16"/>
      <x:c r="I167" s="16"/>
      <x:c r="J167" s="12"/>
      <x:c r="K167" s="12"/>
      <x:c r="L167" s="12"/>
      <x:c r="M167" s="12"/>
      <x:c r="N167" s="12"/>
      <x:c r="O167" s="12"/>
      <x:c r="P167" s="12"/>
      <x:c r="Q167" s="16"/>
      <x:c r="R167" s="18"/>
      <x:c r="S167" s="18"/>
      <x:c r="T167" s="12" t="n">
        <x:v>220</x:v>
      </x:c>
      <x:c r="U167" s="20" t="n">
        <x:f>IFERROR(INDEX('Role Cost Assumptions'!$B$2:$B$10,MATCH(C167,'Role Cost Assumptions'!$A$2:$A$10,0)),25)</x:f>
        <x:v>25</x:v>
      </x:c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</x:row>
    <x:row r="168">
      <x:c r="A168" s="12" t="str">
        <x:v>OBS-167</x:v>
      </x:c>
      <x:c r="B168" s="14"/>
      <x:c r="C168" s="12"/>
      <x:c r="D168" s="12"/>
      <x:c r="E168" s="12"/>
      <x:c r="F168" s="12"/>
      <x:c r="G168" s="12"/>
      <x:c r="H168" s="16"/>
      <x:c r="I168" s="16"/>
      <x:c r="J168" s="12"/>
      <x:c r="K168" s="12"/>
      <x:c r="L168" s="12"/>
      <x:c r="M168" s="12"/>
      <x:c r="N168" s="12"/>
      <x:c r="O168" s="12"/>
      <x:c r="P168" s="12"/>
      <x:c r="Q168" s="16"/>
      <x:c r="R168" s="18"/>
      <x:c r="S168" s="18"/>
      <x:c r="T168" s="12" t="n">
        <x:v>220</x:v>
      </x:c>
      <x:c r="U168" s="20" t="n">
        <x:f>IFERROR(INDEX('Role Cost Assumptions'!$B$2:$B$10,MATCH(C168,'Role Cost Assumptions'!$A$2:$A$10,0)),25)</x:f>
        <x:v>25</x:v>
      </x:c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</x:row>
    <x:row r="169">
      <x:c r="A169" s="12" t="str">
        <x:v>OBS-168</x:v>
      </x:c>
      <x:c r="B169" s="14"/>
      <x:c r="C169" s="12"/>
      <x:c r="D169" s="12"/>
      <x:c r="E169" s="12"/>
      <x:c r="F169" s="12"/>
      <x:c r="G169" s="12"/>
      <x:c r="H169" s="16"/>
      <x:c r="I169" s="16"/>
      <x:c r="J169" s="12"/>
      <x:c r="K169" s="12"/>
      <x:c r="L169" s="12"/>
      <x:c r="M169" s="12"/>
      <x:c r="N169" s="12"/>
      <x:c r="O169" s="12"/>
      <x:c r="P169" s="12"/>
      <x:c r="Q169" s="16"/>
      <x:c r="R169" s="18"/>
      <x:c r="S169" s="18"/>
      <x:c r="T169" s="12" t="n">
        <x:v>220</x:v>
      </x:c>
      <x:c r="U169" s="20" t="n">
        <x:f>IFERROR(INDEX('Role Cost Assumptions'!$B$2:$B$10,MATCH(C169,'Role Cost Assumptions'!$A$2:$A$10,0)),25)</x:f>
        <x:v>25</x:v>
      </x:c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</x:row>
    <x:row r="170">
      <x:c r="A170" s="12" t="str">
        <x:v>OBS-169</x:v>
      </x:c>
      <x:c r="B170" s="14"/>
      <x:c r="C170" s="12"/>
      <x:c r="D170" s="12"/>
      <x:c r="E170" s="12"/>
      <x:c r="F170" s="12"/>
      <x:c r="G170" s="12"/>
      <x:c r="H170" s="16"/>
      <x:c r="I170" s="16"/>
      <x:c r="J170" s="12"/>
      <x:c r="K170" s="12"/>
      <x:c r="L170" s="12"/>
      <x:c r="M170" s="12"/>
      <x:c r="N170" s="12"/>
      <x:c r="O170" s="12"/>
      <x:c r="P170" s="12"/>
      <x:c r="Q170" s="16"/>
      <x:c r="R170" s="18"/>
      <x:c r="S170" s="18"/>
      <x:c r="T170" s="12" t="n">
        <x:v>220</x:v>
      </x:c>
      <x:c r="U170" s="20" t="n">
        <x:f>IFERROR(INDEX('Role Cost Assumptions'!$B$2:$B$10,MATCH(C170,'Role Cost Assumptions'!$A$2:$A$10,0)),25)</x:f>
        <x:v>25</x:v>
      </x:c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</x:row>
    <x:row r="171">
      <x:c r="A171" s="12" t="str">
        <x:v>OBS-170</x:v>
      </x:c>
      <x:c r="B171" s="14"/>
      <x:c r="C171" s="12"/>
      <x:c r="D171" s="12"/>
      <x:c r="E171" s="12"/>
      <x:c r="F171" s="12"/>
      <x:c r="G171" s="12"/>
      <x:c r="H171" s="16"/>
      <x:c r="I171" s="16"/>
      <x:c r="J171" s="12"/>
      <x:c r="K171" s="12"/>
      <x:c r="L171" s="12"/>
      <x:c r="M171" s="12"/>
      <x:c r="N171" s="12"/>
      <x:c r="O171" s="12"/>
      <x:c r="P171" s="12"/>
      <x:c r="Q171" s="16"/>
      <x:c r="R171" s="18"/>
      <x:c r="S171" s="18"/>
      <x:c r="T171" s="12" t="n">
        <x:v>220</x:v>
      </x:c>
      <x:c r="U171" s="20" t="n">
        <x:f>IFERROR(INDEX('Role Cost Assumptions'!$B$2:$B$10,MATCH(C171,'Role Cost Assumptions'!$A$2:$A$10,0)),25)</x:f>
        <x:v>25</x:v>
      </x:c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</x:row>
    <x:row r="172">
      <x:c r="A172" s="12" t="str">
        <x:v>OBS-171</x:v>
      </x:c>
      <x:c r="B172" s="14"/>
      <x:c r="C172" s="12"/>
      <x:c r="D172" s="12"/>
      <x:c r="E172" s="12"/>
      <x:c r="F172" s="12"/>
      <x:c r="G172" s="12"/>
      <x:c r="H172" s="16"/>
      <x:c r="I172" s="16"/>
      <x:c r="J172" s="12"/>
      <x:c r="K172" s="12"/>
      <x:c r="L172" s="12"/>
      <x:c r="M172" s="12"/>
      <x:c r="N172" s="12"/>
      <x:c r="O172" s="12"/>
      <x:c r="P172" s="12"/>
      <x:c r="Q172" s="16"/>
      <x:c r="R172" s="18"/>
      <x:c r="S172" s="18"/>
      <x:c r="T172" s="12" t="n">
        <x:v>220</x:v>
      </x:c>
      <x:c r="U172" s="20" t="n">
        <x:f>IFERROR(INDEX('Role Cost Assumptions'!$B$2:$B$10,MATCH(C172,'Role Cost Assumptions'!$A$2:$A$10,0)),25)</x:f>
        <x:v>25</x:v>
      </x:c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</x:row>
    <x:row r="173">
      <x:c r="A173" s="12" t="str">
        <x:v>OBS-172</x:v>
      </x:c>
      <x:c r="B173" s="14"/>
      <x:c r="C173" s="12"/>
      <x:c r="D173" s="12"/>
      <x:c r="E173" s="12"/>
      <x:c r="F173" s="12"/>
      <x:c r="G173" s="12"/>
      <x:c r="H173" s="16"/>
      <x:c r="I173" s="16"/>
      <x:c r="J173" s="12"/>
      <x:c r="K173" s="12"/>
      <x:c r="L173" s="12"/>
      <x:c r="M173" s="12"/>
      <x:c r="N173" s="12"/>
      <x:c r="O173" s="12"/>
      <x:c r="P173" s="12"/>
      <x:c r="Q173" s="16"/>
      <x:c r="R173" s="18"/>
      <x:c r="S173" s="18"/>
      <x:c r="T173" s="12" t="n">
        <x:v>220</x:v>
      </x:c>
      <x:c r="U173" s="20" t="n">
        <x:f>IFERROR(INDEX('Role Cost Assumptions'!$B$2:$B$10,MATCH(C173,'Role Cost Assumptions'!$A$2:$A$10,0)),25)</x:f>
        <x:v>25</x:v>
      </x:c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</x:row>
    <x:row r="174">
      <x:c r="A174" s="12" t="str">
        <x:v>OBS-173</x:v>
      </x:c>
      <x:c r="B174" s="14"/>
      <x:c r="C174" s="12"/>
      <x:c r="D174" s="12"/>
      <x:c r="E174" s="12"/>
      <x:c r="F174" s="12"/>
      <x:c r="G174" s="12"/>
      <x:c r="H174" s="16"/>
      <x:c r="I174" s="16"/>
      <x:c r="J174" s="12"/>
      <x:c r="K174" s="12"/>
      <x:c r="L174" s="12"/>
      <x:c r="M174" s="12"/>
      <x:c r="N174" s="12"/>
      <x:c r="O174" s="12"/>
      <x:c r="P174" s="12"/>
      <x:c r="Q174" s="16"/>
      <x:c r="R174" s="18"/>
      <x:c r="S174" s="18"/>
      <x:c r="T174" s="12" t="n">
        <x:v>220</x:v>
      </x:c>
      <x:c r="U174" s="20" t="n">
        <x:f>IFERROR(INDEX('Role Cost Assumptions'!$B$2:$B$10,MATCH(C174,'Role Cost Assumptions'!$A$2:$A$10,0)),25)</x:f>
        <x:v>25</x:v>
      </x:c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</x:row>
    <x:row r="175">
      <x:c r="A175" s="12" t="str">
        <x:v>OBS-174</x:v>
      </x:c>
      <x:c r="B175" s="14"/>
      <x:c r="C175" s="12"/>
      <x:c r="D175" s="12"/>
      <x:c r="E175" s="12"/>
      <x:c r="F175" s="12"/>
      <x:c r="G175" s="12"/>
      <x:c r="H175" s="16"/>
      <x:c r="I175" s="16"/>
      <x:c r="J175" s="12"/>
      <x:c r="K175" s="12"/>
      <x:c r="L175" s="12"/>
      <x:c r="M175" s="12"/>
      <x:c r="N175" s="12"/>
      <x:c r="O175" s="12"/>
      <x:c r="P175" s="12"/>
      <x:c r="Q175" s="16"/>
      <x:c r="R175" s="18"/>
      <x:c r="S175" s="18"/>
      <x:c r="T175" s="12" t="n">
        <x:v>220</x:v>
      </x:c>
      <x:c r="U175" s="20" t="n">
        <x:f>IFERROR(INDEX('Role Cost Assumptions'!$B$2:$B$10,MATCH(C175,'Role Cost Assumptions'!$A$2:$A$10,0)),25)</x:f>
        <x:v>25</x:v>
      </x:c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</x:row>
    <x:row r="176">
      <x:c r="A176" s="12" t="str">
        <x:v>OBS-175</x:v>
      </x:c>
      <x:c r="B176" s="14"/>
      <x:c r="C176" s="12"/>
      <x:c r="D176" s="12"/>
      <x:c r="E176" s="12"/>
      <x:c r="F176" s="12"/>
      <x:c r="G176" s="12"/>
      <x:c r="H176" s="16"/>
      <x:c r="I176" s="16"/>
      <x:c r="J176" s="12"/>
      <x:c r="K176" s="12"/>
      <x:c r="L176" s="12"/>
      <x:c r="M176" s="12"/>
      <x:c r="N176" s="12"/>
      <x:c r="O176" s="12"/>
      <x:c r="P176" s="12"/>
      <x:c r="Q176" s="16"/>
      <x:c r="R176" s="18"/>
      <x:c r="S176" s="18"/>
      <x:c r="T176" s="12" t="n">
        <x:v>220</x:v>
      </x:c>
      <x:c r="U176" s="20" t="n">
        <x:f>IFERROR(INDEX('Role Cost Assumptions'!$B$2:$B$10,MATCH(C176,'Role Cost Assumptions'!$A$2:$A$10,0)),25)</x:f>
        <x:v>25</x:v>
      </x:c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</x:row>
    <x:row r="177">
      <x:c r="A177" s="12" t="str">
        <x:v>OBS-176</x:v>
      </x:c>
      <x:c r="B177" s="14"/>
      <x:c r="C177" s="12"/>
      <x:c r="D177" s="12"/>
      <x:c r="E177" s="12"/>
      <x:c r="F177" s="12"/>
      <x:c r="G177" s="12"/>
      <x:c r="H177" s="16"/>
      <x:c r="I177" s="16"/>
      <x:c r="J177" s="12"/>
      <x:c r="K177" s="12"/>
      <x:c r="L177" s="12"/>
      <x:c r="M177" s="12"/>
      <x:c r="N177" s="12"/>
      <x:c r="O177" s="12"/>
      <x:c r="P177" s="12"/>
      <x:c r="Q177" s="16"/>
      <x:c r="R177" s="18"/>
      <x:c r="S177" s="18"/>
      <x:c r="T177" s="12" t="n">
        <x:v>220</x:v>
      </x:c>
      <x:c r="U177" s="20" t="n">
        <x:f>IFERROR(INDEX('Role Cost Assumptions'!$B$2:$B$10,MATCH(C177,'Role Cost Assumptions'!$A$2:$A$10,0)),25)</x:f>
        <x:v>25</x:v>
      </x:c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</x:row>
    <x:row r="178">
      <x:c r="A178" s="12" t="str">
        <x:v>OBS-177</x:v>
      </x:c>
      <x:c r="B178" s="14"/>
      <x:c r="C178" s="12"/>
      <x:c r="D178" s="12"/>
      <x:c r="E178" s="12"/>
      <x:c r="F178" s="12"/>
      <x:c r="G178" s="12"/>
      <x:c r="H178" s="16"/>
      <x:c r="I178" s="16"/>
      <x:c r="J178" s="12"/>
      <x:c r="K178" s="12"/>
      <x:c r="L178" s="12"/>
      <x:c r="M178" s="12"/>
      <x:c r="N178" s="12"/>
      <x:c r="O178" s="12"/>
      <x:c r="P178" s="12"/>
      <x:c r="Q178" s="16"/>
      <x:c r="R178" s="18"/>
      <x:c r="S178" s="18"/>
      <x:c r="T178" s="12" t="n">
        <x:v>220</x:v>
      </x:c>
      <x:c r="U178" s="20" t="n">
        <x:f>IFERROR(INDEX('Role Cost Assumptions'!$B$2:$B$10,MATCH(C178,'Role Cost Assumptions'!$A$2:$A$10,0)),25)</x:f>
        <x:v>25</x:v>
      </x:c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</x:row>
    <x:row r="179">
      <x:c r="A179" s="12" t="str">
        <x:v>OBS-178</x:v>
      </x:c>
      <x:c r="B179" s="14"/>
      <x:c r="C179" s="12"/>
      <x:c r="D179" s="12"/>
      <x:c r="E179" s="12"/>
      <x:c r="F179" s="12"/>
      <x:c r="G179" s="12"/>
      <x:c r="H179" s="16"/>
      <x:c r="I179" s="16"/>
      <x:c r="J179" s="12"/>
      <x:c r="K179" s="12"/>
      <x:c r="L179" s="12"/>
      <x:c r="M179" s="12"/>
      <x:c r="N179" s="12"/>
      <x:c r="O179" s="12"/>
      <x:c r="P179" s="12"/>
      <x:c r="Q179" s="16"/>
      <x:c r="R179" s="18"/>
      <x:c r="S179" s="18"/>
      <x:c r="T179" s="12" t="n">
        <x:v>220</x:v>
      </x:c>
      <x:c r="U179" s="20" t="n">
        <x:f>IFERROR(INDEX('Role Cost Assumptions'!$B$2:$B$10,MATCH(C179,'Role Cost Assumptions'!$A$2:$A$10,0)),25)</x:f>
        <x:v>25</x:v>
      </x:c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</x:row>
    <x:row r="180">
      <x:c r="A180" s="12" t="str">
        <x:v>OBS-179</x:v>
      </x:c>
      <x:c r="B180" s="14"/>
      <x:c r="C180" s="12"/>
      <x:c r="D180" s="12"/>
      <x:c r="E180" s="12"/>
      <x:c r="F180" s="12"/>
      <x:c r="G180" s="12"/>
      <x:c r="H180" s="16"/>
      <x:c r="I180" s="16"/>
      <x:c r="J180" s="12"/>
      <x:c r="K180" s="12"/>
      <x:c r="L180" s="12"/>
      <x:c r="M180" s="12"/>
      <x:c r="N180" s="12"/>
      <x:c r="O180" s="12"/>
      <x:c r="P180" s="12"/>
      <x:c r="Q180" s="16"/>
      <x:c r="R180" s="18"/>
      <x:c r="S180" s="18"/>
      <x:c r="T180" s="12" t="n">
        <x:v>220</x:v>
      </x:c>
      <x:c r="U180" s="20" t="n">
        <x:f>IFERROR(INDEX('Role Cost Assumptions'!$B$2:$B$10,MATCH(C180,'Role Cost Assumptions'!$A$2:$A$10,0)),25)</x:f>
        <x:v>25</x:v>
      </x:c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</x:row>
    <x:row r="181">
      <x:c r="A181" s="12" t="str">
        <x:v>OBS-180</x:v>
      </x:c>
      <x:c r="B181" s="14"/>
      <x:c r="C181" s="12"/>
      <x:c r="D181" s="12"/>
      <x:c r="E181" s="12"/>
      <x:c r="F181" s="12"/>
      <x:c r="G181" s="12"/>
      <x:c r="H181" s="16"/>
      <x:c r="I181" s="16"/>
      <x:c r="J181" s="12"/>
      <x:c r="K181" s="12"/>
      <x:c r="L181" s="12"/>
      <x:c r="M181" s="12"/>
      <x:c r="N181" s="12"/>
      <x:c r="O181" s="12"/>
      <x:c r="P181" s="12"/>
      <x:c r="Q181" s="16"/>
      <x:c r="R181" s="18"/>
      <x:c r="S181" s="18"/>
      <x:c r="T181" s="12" t="n">
        <x:v>220</x:v>
      </x:c>
      <x:c r="U181" s="20" t="n">
        <x:f>IFERROR(INDEX('Role Cost Assumptions'!$B$2:$B$10,MATCH(C181,'Role Cost Assumptions'!$A$2:$A$10,0)),25)</x:f>
        <x:v>25</x:v>
      </x:c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</x:row>
    <x:row r="182">
      <x:c r="A182" s="12" t="str">
        <x:v>OBS-181</x:v>
      </x:c>
      <x:c r="B182" s="14"/>
      <x:c r="C182" s="12"/>
      <x:c r="D182" s="12"/>
      <x:c r="E182" s="12"/>
      <x:c r="F182" s="12"/>
      <x:c r="G182" s="12"/>
      <x:c r="H182" s="16"/>
      <x:c r="I182" s="16"/>
      <x:c r="J182" s="12"/>
      <x:c r="K182" s="12"/>
      <x:c r="L182" s="12"/>
      <x:c r="M182" s="12"/>
      <x:c r="N182" s="12"/>
      <x:c r="O182" s="12"/>
      <x:c r="P182" s="12"/>
      <x:c r="Q182" s="16"/>
      <x:c r="R182" s="18"/>
      <x:c r="S182" s="18"/>
      <x:c r="T182" s="12" t="n">
        <x:v>220</x:v>
      </x:c>
      <x:c r="U182" s="20" t="n">
        <x:f>IFERROR(INDEX('Role Cost Assumptions'!$B$2:$B$10,MATCH(C182,'Role Cost Assumptions'!$A$2:$A$10,0)),25)</x:f>
        <x:v>25</x:v>
      </x:c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</x:row>
    <x:row r="183">
      <x:c r="A183" s="12" t="str">
        <x:v>OBS-182</x:v>
      </x:c>
      <x:c r="B183" s="14"/>
      <x:c r="C183" s="12"/>
      <x:c r="D183" s="12"/>
      <x:c r="E183" s="12"/>
      <x:c r="F183" s="12"/>
      <x:c r="G183" s="12"/>
      <x:c r="H183" s="16"/>
      <x:c r="I183" s="16"/>
      <x:c r="J183" s="12"/>
      <x:c r="K183" s="12"/>
      <x:c r="L183" s="12"/>
      <x:c r="M183" s="12"/>
      <x:c r="N183" s="12"/>
      <x:c r="O183" s="12"/>
      <x:c r="P183" s="12"/>
      <x:c r="Q183" s="16"/>
      <x:c r="R183" s="18"/>
      <x:c r="S183" s="18"/>
      <x:c r="T183" s="12" t="n">
        <x:v>220</x:v>
      </x:c>
      <x:c r="U183" s="20" t="n">
        <x:f>IFERROR(INDEX('Role Cost Assumptions'!$B$2:$B$10,MATCH(C183,'Role Cost Assumptions'!$A$2:$A$10,0)),25)</x:f>
        <x:v>25</x:v>
      </x:c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</x:row>
    <x:row r="184">
      <x:c r="A184" s="12" t="str">
        <x:v>OBS-183</x:v>
      </x:c>
      <x:c r="B184" s="14"/>
      <x:c r="C184" s="12"/>
      <x:c r="D184" s="12"/>
      <x:c r="E184" s="12"/>
      <x:c r="F184" s="12"/>
      <x:c r="G184" s="12"/>
      <x:c r="H184" s="16"/>
      <x:c r="I184" s="16"/>
      <x:c r="J184" s="12"/>
      <x:c r="K184" s="12"/>
      <x:c r="L184" s="12"/>
      <x:c r="M184" s="12"/>
      <x:c r="N184" s="12"/>
      <x:c r="O184" s="12"/>
      <x:c r="P184" s="12"/>
      <x:c r="Q184" s="16"/>
      <x:c r="R184" s="18"/>
      <x:c r="S184" s="18"/>
      <x:c r="T184" s="12" t="n">
        <x:v>220</x:v>
      </x:c>
      <x:c r="U184" s="20" t="n">
        <x:f>IFERROR(INDEX('Role Cost Assumptions'!$B$2:$B$10,MATCH(C184,'Role Cost Assumptions'!$A$2:$A$10,0)),25)</x:f>
        <x:v>25</x:v>
      </x:c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</x:row>
    <x:row r="185">
      <x:c r="A185" s="12" t="str">
        <x:v>OBS-184</x:v>
      </x:c>
      <x:c r="B185" s="14"/>
      <x:c r="C185" s="12"/>
      <x:c r="D185" s="12"/>
      <x:c r="E185" s="12"/>
      <x:c r="F185" s="12"/>
      <x:c r="G185" s="12"/>
      <x:c r="H185" s="16"/>
      <x:c r="I185" s="16"/>
      <x:c r="J185" s="12"/>
      <x:c r="K185" s="12"/>
      <x:c r="L185" s="12"/>
      <x:c r="M185" s="12"/>
      <x:c r="N185" s="12"/>
      <x:c r="O185" s="12"/>
      <x:c r="P185" s="12"/>
      <x:c r="Q185" s="16"/>
      <x:c r="R185" s="18"/>
      <x:c r="S185" s="18"/>
      <x:c r="T185" s="12" t="n">
        <x:v>220</x:v>
      </x:c>
      <x:c r="U185" s="20" t="n">
        <x:f>IFERROR(INDEX('Role Cost Assumptions'!$B$2:$B$10,MATCH(C185,'Role Cost Assumptions'!$A$2:$A$10,0)),25)</x:f>
        <x:v>25</x:v>
      </x:c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</x:row>
    <x:row r="186">
      <x:c r="A186" s="12" t="str">
        <x:v>OBS-185</x:v>
      </x:c>
      <x:c r="B186" s="14"/>
      <x:c r="C186" s="12"/>
      <x:c r="D186" s="12"/>
      <x:c r="E186" s="12"/>
      <x:c r="F186" s="12"/>
      <x:c r="G186" s="12"/>
      <x:c r="H186" s="16"/>
      <x:c r="I186" s="16"/>
      <x:c r="J186" s="12"/>
      <x:c r="K186" s="12"/>
      <x:c r="L186" s="12"/>
      <x:c r="M186" s="12"/>
      <x:c r="N186" s="12"/>
      <x:c r="O186" s="12"/>
      <x:c r="P186" s="12"/>
      <x:c r="Q186" s="16"/>
      <x:c r="R186" s="18"/>
      <x:c r="S186" s="18"/>
      <x:c r="T186" s="12" t="n">
        <x:v>220</x:v>
      </x:c>
      <x:c r="U186" s="20" t="n">
        <x:f>IFERROR(INDEX('Role Cost Assumptions'!$B$2:$B$10,MATCH(C186,'Role Cost Assumptions'!$A$2:$A$10,0)),25)</x:f>
        <x:v>25</x:v>
      </x:c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</x:row>
    <x:row r="187">
      <x:c r="A187" s="12" t="str">
        <x:v>OBS-186</x:v>
      </x:c>
      <x:c r="B187" s="14"/>
      <x:c r="C187" s="12"/>
      <x:c r="D187" s="12"/>
      <x:c r="E187" s="12"/>
      <x:c r="F187" s="12"/>
      <x:c r="G187" s="12"/>
      <x:c r="H187" s="16"/>
      <x:c r="I187" s="16"/>
      <x:c r="J187" s="12"/>
      <x:c r="K187" s="12"/>
      <x:c r="L187" s="12"/>
      <x:c r="M187" s="12"/>
      <x:c r="N187" s="12"/>
      <x:c r="O187" s="12"/>
      <x:c r="P187" s="12"/>
      <x:c r="Q187" s="16"/>
      <x:c r="R187" s="18"/>
      <x:c r="S187" s="18"/>
      <x:c r="T187" s="12" t="n">
        <x:v>220</x:v>
      </x:c>
      <x:c r="U187" s="20" t="n">
        <x:f>IFERROR(INDEX('Role Cost Assumptions'!$B$2:$B$10,MATCH(C187,'Role Cost Assumptions'!$A$2:$A$10,0)),25)</x:f>
        <x:v>25</x:v>
      </x:c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</x:row>
    <x:row r="188">
      <x:c r="A188" s="12" t="str">
        <x:v>OBS-187</x:v>
      </x:c>
      <x:c r="B188" s="14"/>
      <x:c r="C188" s="12"/>
      <x:c r="D188" s="12"/>
      <x:c r="E188" s="12"/>
      <x:c r="F188" s="12"/>
      <x:c r="G188" s="12"/>
      <x:c r="H188" s="16"/>
      <x:c r="I188" s="16"/>
      <x:c r="J188" s="12"/>
      <x:c r="K188" s="12"/>
      <x:c r="L188" s="12"/>
      <x:c r="M188" s="12"/>
      <x:c r="N188" s="12"/>
      <x:c r="O188" s="12"/>
      <x:c r="P188" s="12"/>
      <x:c r="Q188" s="16"/>
      <x:c r="R188" s="18"/>
      <x:c r="S188" s="18"/>
      <x:c r="T188" s="12" t="n">
        <x:v>220</x:v>
      </x:c>
      <x:c r="U188" s="20" t="n">
        <x:f>IFERROR(INDEX('Role Cost Assumptions'!$B$2:$B$10,MATCH(C188,'Role Cost Assumptions'!$A$2:$A$10,0)),25)</x:f>
        <x:v>25</x:v>
      </x:c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</x:row>
    <x:row r="189">
      <x:c r="A189" s="12" t="str">
        <x:v>OBS-188</x:v>
      </x:c>
      <x:c r="B189" s="14"/>
      <x:c r="C189" s="12"/>
      <x:c r="D189" s="12"/>
      <x:c r="E189" s="12"/>
      <x:c r="F189" s="12"/>
      <x:c r="G189" s="12"/>
      <x:c r="H189" s="16"/>
      <x:c r="I189" s="16"/>
      <x:c r="J189" s="12"/>
      <x:c r="K189" s="12"/>
      <x:c r="L189" s="12"/>
      <x:c r="M189" s="12"/>
      <x:c r="N189" s="12"/>
      <x:c r="O189" s="12"/>
      <x:c r="P189" s="12"/>
      <x:c r="Q189" s="16"/>
      <x:c r="R189" s="18"/>
      <x:c r="S189" s="18"/>
      <x:c r="T189" s="12" t="n">
        <x:v>220</x:v>
      </x:c>
      <x:c r="U189" s="20" t="n">
        <x:f>IFERROR(INDEX('Role Cost Assumptions'!$B$2:$B$10,MATCH(C189,'Role Cost Assumptions'!$A$2:$A$10,0)),25)</x:f>
        <x:v>25</x:v>
      </x:c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</x:row>
    <x:row r="190">
      <x:c r="A190" s="12" t="str">
        <x:v>OBS-189</x:v>
      </x:c>
      <x:c r="B190" s="14"/>
      <x:c r="C190" s="12"/>
      <x:c r="D190" s="12"/>
      <x:c r="E190" s="12"/>
      <x:c r="F190" s="12"/>
      <x:c r="G190" s="12"/>
      <x:c r="H190" s="16"/>
      <x:c r="I190" s="16"/>
      <x:c r="J190" s="12"/>
      <x:c r="K190" s="12"/>
      <x:c r="L190" s="12"/>
      <x:c r="M190" s="12"/>
      <x:c r="N190" s="12"/>
      <x:c r="O190" s="12"/>
      <x:c r="P190" s="12"/>
      <x:c r="Q190" s="16"/>
      <x:c r="R190" s="18"/>
      <x:c r="S190" s="18"/>
      <x:c r="T190" s="12" t="n">
        <x:v>220</x:v>
      </x:c>
      <x:c r="U190" s="20" t="n">
        <x:f>IFERROR(INDEX('Role Cost Assumptions'!$B$2:$B$10,MATCH(C190,'Role Cost Assumptions'!$A$2:$A$10,0)),25)</x:f>
        <x:v>25</x:v>
      </x:c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</x:row>
    <x:row r="191">
      <x:c r="A191" s="12" t="str">
        <x:v>OBS-190</x:v>
      </x:c>
      <x:c r="B191" s="14"/>
      <x:c r="C191" s="12"/>
      <x:c r="D191" s="12"/>
      <x:c r="E191" s="12"/>
      <x:c r="F191" s="12"/>
      <x:c r="G191" s="12"/>
      <x:c r="H191" s="16"/>
      <x:c r="I191" s="16"/>
      <x:c r="J191" s="12"/>
      <x:c r="K191" s="12"/>
      <x:c r="L191" s="12"/>
      <x:c r="M191" s="12"/>
      <x:c r="N191" s="12"/>
      <x:c r="O191" s="12"/>
      <x:c r="P191" s="12"/>
      <x:c r="Q191" s="16"/>
      <x:c r="R191" s="18"/>
      <x:c r="S191" s="18"/>
      <x:c r="T191" s="12" t="n">
        <x:v>220</x:v>
      </x:c>
      <x:c r="U191" s="20" t="n">
        <x:f>IFERROR(INDEX('Role Cost Assumptions'!$B$2:$B$10,MATCH(C191,'Role Cost Assumptions'!$A$2:$A$10,0)),25)</x:f>
        <x:v>25</x:v>
      </x:c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</x:row>
    <x:row r="192">
      <x:c r="A192" s="12" t="str">
        <x:v>OBS-191</x:v>
      </x:c>
      <x:c r="B192" s="14"/>
      <x:c r="C192" s="12"/>
      <x:c r="D192" s="12"/>
      <x:c r="E192" s="12"/>
      <x:c r="F192" s="12"/>
      <x:c r="G192" s="12"/>
      <x:c r="H192" s="16"/>
      <x:c r="I192" s="16"/>
      <x:c r="J192" s="12"/>
      <x:c r="K192" s="12"/>
      <x:c r="L192" s="12"/>
      <x:c r="M192" s="12"/>
      <x:c r="N192" s="12"/>
      <x:c r="O192" s="12"/>
      <x:c r="P192" s="12"/>
      <x:c r="Q192" s="16"/>
      <x:c r="R192" s="18"/>
      <x:c r="S192" s="18"/>
      <x:c r="T192" s="12" t="n">
        <x:v>220</x:v>
      </x:c>
      <x:c r="U192" s="20" t="n">
        <x:f>IFERROR(INDEX('Role Cost Assumptions'!$B$2:$B$10,MATCH(C192,'Role Cost Assumptions'!$A$2:$A$10,0)),25)</x:f>
        <x:v>25</x:v>
      </x:c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</x:row>
    <x:row r="193">
      <x:c r="A193" s="12" t="str">
        <x:v>OBS-192</x:v>
      </x:c>
      <x:c r="B193" s="14"/>
      <x:c r="C193" s="12"/>
      <x:c r="D193" s="12"/>
      <x:c r="E193" s="12"/>
      <x:c r="F193" s="12"/>
      <x:c r="G193" s="12"/>
      <x:c r="H193" s="16"/>
      <x:c r="I193" s="16"/>
      <x:c r="J193" s="12"/>
      <x:c r="K193" s="12"/>
      <x:c r="L193" s="12"/>
      <x:c r="M193" s="12"/>
      <x:c r="N193" s="12"/>
      <x:c r="O193" s="12"/>
      <x:c r="P193" s="12"/>
      <x:c r="Q193" s="16"/>
      <x:c r="R193" s="18"/>
      <x:c r="S193" s="18"/>
      <x:c r="T193" s="12" t="n">
        <x:v>220</x:v>
      </x:c>
      <x:c r="U193" s="20" t="n">
        <x:f>IFERROR(INDEX('Role Cost Assumptions'!$B$2:$B$10,MATCH(C193,'Role Cost Assumptions'!$A$2:$A$10,0)),25)</x:f>
        <x:v>25</x:v>
      </x:c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</x:row>
    <x:row r="194">
      <x:c r="A194" s="12" t="str">
        <x:v>OBS-193</x:v>
      </x:c>
      <x:c r="B194" s="14"/>
      <x:c r="C194" s="12"/>
      <x:c r="D194" s="12"/>
      <x:c r="E194" s="12"/>
      <x:c r="F194" s="12"/>
      <x:c r="G194" s="12"/>
      <x:c r="H194" s="16"/>
      <x:c r="I194" s="16"/>
      <x:c r="J194" s="12"/>
      <x:c r="K194" s="12"/>
      <x:c r="L194" s="12"/>
      <x:c r="M194" s="12"/>
      <x:c r="N194" s="12"/>
      <x:c r="O194" s="12"/>
      <x:c r="P194" s="12"/>
      <x:c r="Q194" s="16"/>
      <x:c r="R194" s="18"/>
      <x:c r="S194" s="18"/>
      <x:c r="T194" s="12" t="n">
        <x:v>220</x:v>
      </x:c>
      <x:c r="U194" s="20" t="n">
        <x:f>IFERROR(INDEX('Role Cost Assumptions'!$B$2:$B$10,MATCH(C194,'Role Cost Assumptions'!$A$2:$A$10,0)),25)</x:f>
        <x:v>25</x:v>
      </x:c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</x:row>
    <x:row r="195">
      <x:c r="A195" s="12" t="str">
        <x:v>OBS-194</x:v>
      </x:c>
      <x:c r="B195" s="14"/>
      <x:c r="C195" s="12"/>
      <x:c r="D195" s="12"/>
      <x:c r="E195" s="12"/>
      <x:c r="F195" s="12"/>
      <x:c r="G195" s="12"/>
      <x:c r="H195" s="16"/>
      <x:c r="I195" s="16"/>
      <x:c r="J195" s="12"/>
      <x:c r="K195" s="12"/>
      <x:c r="L195" s="12"/>
      <x:c r="M195" s="12"/>
      <x:c r="N195" s="12"/>
      <x:c r="O195" s="12"/>
      <x:c r="P195" s="12"/>
      <x:c r="Q195" s="16"/>
      <x:c r="R195" s="18"/>
      <x:c r="S195" s="18"/>
      <x:c r="T195" s="12" t="n">
        <x:v>220</x:v>
      </x:c>
      <x:c r="U195" s="20" t="n">
        <x:f>IFERROR(INDEX('Role Cost Assumptions'!$B$2:$B$10,MATCH(C195,'Role Cost Assumptions'!$A$2:$A$10,0)),25)</x:f>
        <x:v>25</x:v>
      </x:c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</x:row>
    <x:row r="196">
      <x:c r="A196" s="12" t="str">
        <x:v>OBS-195</x:v>
      </x:c>
      <x:c r="B196" s="14"/>
      <x:c r="C196" s="12"/>
      <x:c r="D196" s="12"/>
      <x:c r="E196" s="12"/>
      <x:c r="F196" s="12"/>
      <x:c r="G196" s="12"/>
      <x:c r="H196" s="16"/>
      <x:c r="I196" s="16"/>
      <x:c r="J196" s="12"/>
      <x:c r="K196" s="12"/>
      <x:c r="L196" s="12"/>
      <x:c r="M196" s="12"/>
      <x:c r="N196" s="12"/>
      <x:c r="O196" s="12"/>
      <x:c r="P196" s="12"/>
      <x:c r="Q196" s="16"/>
      <x:c r="R196" s="18"/>
      <x:c r="S196" s="18"/>
      <x:c r="T196" s="12" t="n">
        <x:v>220</x:v>
      </x:c>
      <x:c r="U196" s="20" t="n">
        <x:f>IFERROR(INDEX('Role Cost Assumptions'!$B$2:$B$10,MATCH(C196,'Role Cost Assumptions'!$A$2:$A$10,0)),25)</x:f>
        <x:v>25</x:v>
      </x:c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</x:row>
    <x:row r="197">
      <x:c r="A197" s="12" t="str">
        <x:v>OBS-196</x:v>
      </x:c>
      <x:c r="B197" s="14"/>
      <x:c r="C197" s="12"/>
      <x:c r="D197" s="12"/>
      <x:c r="E197" s="12"/>
      <x:c r="F197" s="12"/>
      <x:c r="G197" s="12"/>
      <x:c r="H197" s="16"/>
      <x:c r="I197" s="16"/>
      <x:c r="J197" s="12"/>
      <x:c r="K197" s="12"/>
      <x:c r="L197" s="12"/>
      <x:c r="M197" s="12"/>
      <x:c r="N197" s="12"/>
      <x:c r="O197" s="12"/>
      <x:c r="P197" s="12"/>
      <x:c r="Q197" s="16"/>
      <x:c r="R197" s="18"/>
      <x:c r="S197" s="18"/>
      <x:c r="T197" s="12" t="n">
        <x:v>220</x:v>
      </x:c>
      <x:c r="U197" s="20" t="n">
        <x:f>IFERROR(INDEX('Role Cost Assumptions'!$B$2:$B$10,MATCH(C197,'Role Cost Assumptions'!$A$2:$A$10,0)),25)</x:f>
        <x:v>25</x:v>
      </x:c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</x:row>
    <x:row r="198">
      <x:c r="A198" s="12" t="str">
        <x:v>OBS-197</x:v>
      </x:c>
      <x:c r="B198" s="14"/>
      <x:c r="C198" s="12"/>
      <x:c r="D198" s="12"/>
      <x:c r="E198" s="12"/>
      <x:c r="F198" s="12"/>
      <x:c r="G198" s="12"/>
      <x:c r="H198" s="16"/>
      <x:c r="I198" s="16"/>
      <x:c r="J198" s="12"/>
      <x:c r="K198" s="12"/>
      <x:c r="L198" s="12"/>
      <x:c r="M198" s="12"/>
      <x:c r="N198" s="12"/>
      <x:c r="O198" s="12"/>
      <x:c r="P198" s="12"/>
      <x:c r="Q198" s="16"/>
      <x:c r="R198" s="18"/>
      <x:c r="S198" s="18"/>
      <x:c r="T198" s="12" t="n">
        <x:v>220</x:v>
      </x:c>
      <x:c r="U198" s="20" t="n">
        <x:f>IFERROR(INDEX('Role Cost Assumptions'!$B$2:$B$10,MATCH(C198,'Role Cost Assumptions'!$A$2:$A$10,0)),25)</x:f>
        <x:v>25</x:v>
      </x:c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</x:row>
    <x:row r="199">
      <x:c r="A199" s="12" t="str">
        <x:v>OBS-198</x:v>
      </x:c>
      <x:c r="B199" s="14"/>
      <x:c r="C199" s="12"/>
      <x:c r="D199" s="12"/>
      <x:c r="E199" s="12"/>
      <x:c r="F199" s="12"/>
      <x:c r="G199" s="12"/>
      <x:c r="H199" s="16"/>
      <x:c r="I199" s="16"/>
      <x:c r="J199" s="12"/>
      <x:c r="K199" s="12"/>
      <x:c r="L199" s="12"/>
      <x:c r="M199" s="12"/>
      <x:c r="N199" s="12"/>
      <x:c r="O199" s="12"/>
      <x:c r="P199" s="12"/>
      <x:c r="Q199" s="16"/>
      <x:c r="R199" s="18"/>
      <x:c r="S199" s="18"/>
      <x:c r="T199" s="12" t="n">
        <x:v>220</x:v>
      </x:c>
      <x:c r="U199" s="20" t="n">
        <x:f>IFERROR(INDEX('Role Cost Assumptions'!$B$2:$B$10,MATCH(C199,'Role Cost Assumptions'!$A$2:$A$10,0)),25)</x:f>
        <x:v>25</x:v>
      </x:c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</x:row>
    <x:row r="200">
      <x:c r="A200" s="12" t="str">
        <x:v>OBS-199</x:v>
      </x:c>
      <x:c r="B200" s="14"/>
      <x:c r="C200" s="12"/>
      <x:c r="D200" s="12"/>
      <x:c r="E200" s="12"/>
      <x:c r="F200" s="12"/>
      <x:c r="G200" s="12"/>
      <x:c r="H200" s="16"/>
      <x:c r="I200" s="16"/>
      <x:c r="J200" s="12"/>
      <x:c r="K200" s="12"/>
      <x:c r="L200" s="12"/>
      <x:c r="M200" s="12"/>
      <x:c r="N200" s="12"/>
      <x:c r="O200" s="12"/>
      <x:c r="P200" s="12"/>
      <x:c r="Q200" s="16"/>
      <x:c r="R200" s="18"/>
      <x:c r="S200" s="18"/>
      <x:c r="T200" s="12" t="n">
        <x:v>220</x:v>
      </x:c>
      <x:c r="U200" s="20" t="n">
        <x:f>IFERROR(INDEX('Role Cost Assumptions'!$B$2:$B$10,MATCH(C200,'Role Cost Assumptions'!$A$2:$A$10,0)),25)</x:f>
        <x:v>25</x:v>
      </x:c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</x:row>
    <x:row r="201">
      <x:c r="A201" s="12" t="str">
        <x:v>OBS-200</x:v>
      </x:c>
      <x:c r="B201" s="14"/>
      <x:c r="C201" s="12"/>
      <x:c r="D201" s="12"/>
      <x:c r="E201" s="12"/>
      <x:c r="F201" s="12"/>
      <x:c r="G201" s="12"/>
      <x:c r="H201" s="16"/>
      <x:c r="I201" s="16"/>
      <x:c r="J201" s="12"/>
      <x:c r="K201" s="12"/>
      <x:c r="L201" s="12"/>
      <x:c r="M201" s="12"/>
      <x:c r="N201" s="12"/>
      <x:c r="O201" s="12"/>
      <x:c r="P201" s="12"/>
      <x:c r="Q201" s="16"/>
      <x:c r="R201" s="18"/>
      <x:c r="S201" s="18"/>
      <x:c r="T201" s="12" t="n">
        <x:v>220</x:v>
      </x:c>
      <x:c r="U201" s="20" t="n">
        <x:f>IFERROR(INDEX('Role Cost Assumptions'!$B$2:$B$10,MATCH(C201,'Role Cost Assumptions'!$A$2:$A$10,0)),25)</x:f>
        <x:v>25</x:v>
      </x:c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</x:row>
  </x:sheetData>
  <x:dataValidations count="17">
    <x:dataValidation type="list" sqref="C2:C201">
      <x:formula1>Lists!$A$2:$A$10</x:formula1>
    </x:dataValidation>
    <x:dataValidation type="list" sqref="D2:D201">
      <x:formula1>Lists!$H$2:$H$9</x:formula1>
    </x:dataValidation>
    <x:dataValidation type="list" sqref="E2:E201">
      <x:formula1>Lists!$B$2:$B$18</x:formula1>
    </x:dataValidation>
    <x:dataValidation type="list" sqref="M2:M201">
      <x:formula1>Lists!$C$2:$C$7</x:formula1>
    </x:dataValidation>
    <x:dataValidation type="list" sqref="N2:N201">
      <x:formula1>Lists!$D$2:$D$7</x:formula1>
    </x:dataValidation>
    <x:dataValidation type="list" sqref="V2:V201">
      <x:formula1>Lists!$E$2:$E$5</x:formula1>
    </x:dataValidation>
    <x:dataValidation type="list" sqref="O2:P201">
      <x:formula1>"Yes,No"</x:formula1>
    </x:dataValidation>
    <x:dataValidation type="list" sqref="Y2:Y201">
      <x:formula1>Lists!$I$2:$I$5</x:formula1>
    </x:dataValidation>
    <x:dataValidation type="list" sqref="Z2:AA201">
      <x:formula1>Lists!$J$2:$J$4</x:formula1>
    </x:dataValidation>
    <x:dataValidation type="list" sqref="AE2:AE201">
      <x:formula1>Lists!$L$2:$L$6</x:formula1>
    </x:dataValidation>
    <x:dataValidation type="list" sqref="AF2:AF201">
      <x:formula1>Lists!$M$2:$M$11</x:formula1>
    </x:dataValidation>
    <x:dataValidation type="list" sqref="AG2:AI201">
      <x:formula1>Lists!$K$2:$K$6</x:formula1>
    </x:dataValidation>
    <x:dataValidation type="list" sqref="AJ2:AJ201">
      <x:formula1>Lists!$N$2:$N$5</x:formula1>
    </x:dataValidation>
    <x:dataValidation type="list" sqref="AK2:AK201">
      <x:formula1>Lists!$O$2:$O$9</x:formula1>
    </x:dataValidation>
    <x:dataValidation type="list" sqref="AL2:AL201">
      <x:formula1>Lists!$P$2:$P$10</x:formula1>
    </x:dataValidation>
    <x:dataValidation operator="between" sqref="AM2:AM201">
      <x:formula1>0</x:formula1>
      <x:formula2>5</x:formula2>
    </x:dataValidation>
    <x:dataValidation type="list" sqref="AN2:AN2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</x:cols>
  <x:sheetData>
    <x:row r="1">
      <x:c r="A1" s="6" t="str">
        <x:v>Task Category</x:v>
      </x:c>
      <x:c r="B1" s="6" t="str">
        <x:v>Observed Events</x:v>
      </x:c>
      <x:c r="C1" s="6" t="str">
        <x:v>Avg Active Min</x:v>
      </x:c>
      <x:c r="D1" s="6" t="str">
        <x:v>Avg Waiting Min</x:v>
      </x:c>
      <x:c r="E1" s="6" t="str">
        <x:v>Avg Review Min</x:v>
      </x:c>
      <x:c r="F1" s="6" t="str">
        <x:v>Avg Events/Person/Day</x:v>
      </x:c>
      <x:c r="G1" s="6" t="str">
        <x:v>Avg People</x:v>
      </x:c>
      <x:c r="H1" s="6" t="str">
        <x:v>Working Days</x:v>
      </x:c>
      <x:c r="I1" s="6" t="str">
        <x:v>Loaded £/Hour</x:v>
      </x:c>
      <x:c r="J1" s="6" t="str">
        <x:v>Annual Events</x:v>
      </x:c>
      <x:c r="K1" s="6" t="str">
        <x:v>Annual Active Hours</x:v>
      </x:c>
      <x:c r="L1" s="6" t="str">
        <x:v>Annual Review Hours</x:v>
      </x:c>
      <x:c r="M1" s="6" t="str">
        <x:v>Annual Capacity Cost</x:v>
      </x:c>
      <x:c r="N1" s="6" t="str">
        <x:v>Confidence Note</x:v>
      </x:c>
    </x:row>
    <x:row r="2">
      <x:c r="A2" s="12" t="str">
        <x:v>FILE</x:v>
      </x:c>
      <x:c r="B2" s="12" t="n">
        <x:f>COUNTIF('TO Observations'!$E$2:$E$201,A2)</x:f>
        <x:v>0</x:v>
      </x:c>
      <x:c r="C2" s="18" t="n">
        <x:f>IF(B2=0,0,SUMIF('TO Observations'!$E$2:$E$201,A2,'TO Observations'!$H$2:$H$201)/B2)</x:f>
        <x:v>0</x:v>
      </x:c>
      <x:c r="D2" s="18" t="n">
        <x:f>IF(B2=0,0,SUMIF('TO Observations'!$E$2:$E$201,A2,'TO Observations'!$I$2:$I$201)/B2)</x:f>
        <x:v>0</x:v>
      </x:c>
      <x:c r="E2" s="18" t="n">
        <x:f>IF(B2=0,0,SUMIF('TO Observations'!$E$2:$E$201,A2,'TO Observations'!$Q$2:$Q$201)/B2)</x:f>
        <x:v>0</x:v>
      </x:c>
      <x:c r="F2" s="18" t="n">
        <x:f>IF(B2=0,0,SUMIF('TO Observations'!$E$2:$E$201,A2,'TO Observations'!$R$2:$R$201)/B2)</x:f>
        <x:v>0</x:v>
      </x:c>
      <x:c r="G2" s="18" t="n">
        <x:f>IF(B2=0,0,SUMIF('TO Observations'!$E$2:$E$201,A2,'TO Observations'!$S$2:$S$201)/B2)</x:f>
        <x:v>0</x:v>
      </x:c>
      <x:c r="H2" s="18" t="n">
        <x:f>IF(B2=0,220,SUMIF('TO Observations'!$E$2:$E$201,A2,'TO Observations'!$T$2:$T$201)/B2)</x:f>
        <x:v>220</x:v>
      </x:c>
      <x:c r="I2" s="18" t="n">
        <x:f>IF(B2=0,25,SUMIF('TO Observations'!$E$2:$E$201,A2,'TO Observations'!$U$2:$U$201)/B2)</x:f>
        <x:v>25</x:v>
      </x:c>
      <x:c r="J2" s="18" t="n">
        <x:f>F2*G2*H2</x:f>
        <x:v>0</x:v>
      </x:c>
      <x:c r="K2" s="18" t="n">
        <x:f>J2*C2/60</x:f>
        <x:v>0</x:v>
      </x:c>
      <x:c r="L2" s="18" t="n">
        <x:f>J2*E2/60</x:f>
        <x:v>0</x:v>
      </x:c>
      <x:c r="M2" s="26" t="n">
        <x:f>(K2+L2)*I2</x:f>
        <x:v>0</x:v>
      </x:c>
      <x:c r="N2" s="12" t="str">
        <x:f>IF(B2&gt;=5,"TIMING SAMPLE &gt;=5; VOLUME STILL SEPARATE",IF(B2&gt;0,"LOW TIMING SAMPLE","NO DATA"))</x:f>
        <x:v>NO DATA</x:v>
      </x:c>
    </x:row>
    <x:row r="3">
      <x:c r="A3" s="12" t="str">
        <x:v>CLASSIFY</x:v>
      </x:c>
      <x:c r="B3" s="12" t="n">
        <x:f>COUNTIF('TO Observations'!$E$2:$E$201,A3)</x:f>
        <x:v>0</x:v>
      </x:c>
      <x:c r="C3" s="18" t="n">
        <x:f>IF(B3=0,0,SUMIF('TO Observations'!$E$2:$E$201,A3,'TO Observations'!$H$2:$H$201)/B3)</x:f>
        <x:v>0</x:v>
      </x:c>
      <x:c r="D3" s="18" t="n">
        <x:f>IF(B3=0,0,SUMIF('TO Observations'!$E$2:$E$201,A3,'TO Observations'!$I$2:$I$201)/B3)</x:f>
        <x:v>0</x:v>
      </x:c>
      <x:c r="E3" s="18" t="n">
        <x:f>IF(B3=0,0,SUMIF('TO Observations'!$E$2:$E$201,A3,'TO Observations'!$Q$2:$Q$201)/B3)</x:f>
        <x:v>0</x:v>
      </x:c>
      <x:c r="F3" s="18" t="n">
        <x:f>IF(B3=0,0,SUMIF('TO Observations'!$E$2:$E$201,A3,'TO Observations'!$R$2:$R$201)/B3)</x:f>
        <x:v>0</x:v>
      </x:c>
      <x:c r="G3" s="18" t="n">
        <x:f>IF(B3=0,0,SUMIF('TO Observations'!$E$2:$E$201,A3,'TO Observations'!$S$2:$S$201)/B3)</x:f>
        <x:v>0</x:v>
      </x:c>
      <x:c r="H3" s="18" t="n">
        <x:f>IF(B3=0,220,SUMIF('TO Observations'!$E$2:$E$201,A3,'TO Observations'!$T$2:$T$201)/B3)</x:f>
        <x:v>220</x:v>
      </x:c>
      <x:c r="I3" s="18" t="n">
        <x:f>IF(B3=0,25,SUMIF('TO Observations'!$E$2:$E$201,A3,'TO Observations'!$U$2:$U$201)/B3)</x:f>
        <x:v>25</x:v>
      </x:c>
      <x:c r="J3" s="18" t="n">
        <x:f>F3*G3*H3</x:f>
        <x:v>0</x:v>
      </x:c>
      <x:c r="K3" s="18" t="n">
        <x:f>J3*C3/60</x:f>
        <x:v>0</x:v>
      </x:c>
      <x:c r="L3" s="18" t="n">
        <x:f>J3*E3/60</x:f>
        <x:v>0</x:v>
      </x:c>
      <x:c r="M3" s="26" t="n">
        <x:f>(K3+L3)*I3</x:f>
        <x:v>0</x:v>
      </x:c>
      <x:c r="N3" s="12" t="str">
        <x:f>IF(B3&gt;=5,"TIMING SAMPLE &gt;=5; VOLUME STILL SEPARATE",IF(B3&gt;0,"LOW TIMING SAMPLE","NO DATA"))</x:f>
        <x:v>NO DATA</x:v>
      </x:c>
    </x:row>
    <x:row r="4">
      <x:c r="A4" s="12" t="str">
        <x:v>MATCH</x:v>
      </x:c>
      <x:c r="B4" s="12" t="n">
        <x:f>COUNTIF('TO Observations'!$E$2:$E$201,A4)</x:f>
        <x:v>0</x:v>
      </x:c>
      <x:c r="C4" s="18" t="n">
        <x:f>IF(B4=0,0,SUMIF('TO Observations'!$E$2:$E$201,A4,'TO Observations'!$H$2:$H$201)/B4)</x:f>
        <x:v>0</x:v>
      </x:c>
      <x:c r="D4" s="18" t="n">
        <x:f>IF(B4=0,0,SUMIF('TO Observations'!$E$2:$E$201,A4,'TO Observations'!$I$2:$I$201)/B4)</x:f>
        <x:v>0</x:v>
      </x:c>
      <x:c r="E4" s="18" t="n">
        <x:f>IF(B4=0,0,SUMIF('TO Observations'!$E$2:$E$201,A4,'TO Observations'!$Q$2:$Q$201)/B4)</x:f>
        <x:v>0</x:v>
      </x:c>
      <x:c r="F4" s="18" t="n">
        <x:f>IF(B4=0,0,SUMIF('TO Observations'!$E$2:$E$201,A4,'TO Observations'!$R$2:$R$201)/B4)</x:f>
        <x:v>0</x:v>
      </x:c>
      <x:c r="G4" s="18" t="n">
        <x:f>IF(B4=0,0,SUMIF('TO Observations'!$E$2:$E$201,A4,'TO Observations'!$S$2:$S$201)/B4)</x:f>
        <x:v>0</x:v>
      </x:c>
      <x:c r="H4" s="18" t="n">
        <x:f>IF(B4=0,220,SUMIF('TO Observations'!$E$2:$E$201,A4,'TO Observations'!$T$2:$T$201)/B4)</x:f>
        <x:v>220</x:v>
      </x:c>
      <x:c r="I4" s="18" t="n">
        <x:f>IF(B4=0,25,SUMIF('TO Observations'!$E$2:$E$201,A4,'TO Observations'!$U$2:$U$201)/B4)</x:f>
        <x:v>25</x:v>
      </x:c>
      <x:c r="J4" s="18" t="n">
        <x:f>F4*G4*H4</x:f>
        <x:v>0</x:v>
      </x:c>
      <x:c r="K4" s="18" t="n">
        <x:f>J4*C4/60</x:f>
        <x:v>0</x:v>
      </x:c>
      <x:c r="L4" s="18" t="n">
        <x:f>J4*E4/60</x:f>
        <x:v>0</x:v>
      </x:c>
      <x:c r="M4" s="26" t="n">
        <x:f>(K4+L4)*I4</x:f>
        <x:v>0</x:v>
      </x:c>
      <x:c r="N4" s="12" t="str">
        <x:f>IF(B4&gt;=5,"TIMING SAMPLE &gt;=5; VOLUME STILL SEPARATE",IF(B4&gt;0,"LOW TIMING SAMPLE","NO DATA"))</x:f>
        <x:v>NO DATA</x:v>
      </x:c>
    </x:row>
    <x:row r="5">
      <x:c r="A5" s="12" t="str">
        <x:v>EXTRACT</x:v>
      </x:c>
      <x:c r="B5" s="12" t="n">
        <x:f>COUNTIF('TO Observations'!$E$2:$E$201,A5)</x:f>
        <x:v>0</x:v>
      </x:c>
      <x:c r="C5" s="18" t="n">
        <x:f>IF(B5=0,0,SUMIF('TO Observations'!$E$2:$E$201,A5,'TO Observations'!$H$2:$H$201)/B5)</x:f>
        <x:v>0</x:v>
      </x:c>
      <x:c r="D5" s="18" t="n">
        <x:f>IF(B5=0,0,SUMIF('TO Observations'!$E$2:$E$201,A5,'TO Observations'!$I$2:$I$201)/B5)</x:f>
        <x:v>0</x:v>
      </x:c>
      <x:c r="E5" s="18" t="n">
        <x:f>IF(B5=0,0,SUMIF('TO Observations'!$E$2:$E$201,A5,'TO Observations'!$Q$2:$Q$201)/B5)</x:f>
        <x:v>0</x:v>
      </x:c>
      <x:c r="F5" s="18" t="n">
        <x:f>IF(B5=0,0,SUMIF('TO Observations'!$E$2:$E$201,A5,'TO Observations'!$R$2:$R$201)/B5)</x:f>
        <x:v>0</x:v>
      </x:c>
      <x:c r="G5" s="18" t="n">
        <x:f>IF(B5=0,0,SUMIF('TO Observations'!$E$2:$E$201,A5,'TO Observations'!$S$2:$S$201)/B5)</x:f>
        <x:v>0</x:v>
      </x:c>
      <x:c r="H5" s="18" t="n">
        <x:f>IF(B5=0,220,SUMIF('TO Observations'!$E$2:$E$201,A5,'TO Observations'!$T$2:$T$201)/B5)</x:f>
        <x:v>220</x:v>
      </x:c>
      <x:c r="I5" s="18" t="n">
        <x:f>IF(B5=0,25,SUMIF('TO Observations'!$E$2:$E$201,A5,'TO Observations'!$U$2:$U$201)/B5)</x:f>
        <x:v>25</x:v>
      </x:c>
      <x:c r="J5" s="18" t="n">
        <x:f>F5*G5*H5</x:f>
        <x:v>0</x:v>
      </x:c>
      <x:c r="K5" s="18" t="n">
        <x:f>J5*C5/60</x:f>
        <x:v>0</x:v>
      </x:c>
      <x:c r="L5" s="18" t="n">
        <x:f>J5*E5/60</x:f>
        <x:v>0</x:v>
      </x:c>
      <x:c r="M5" s="26" t="n">
        <x:f>(K5+L5)*I5</x:f>
        <x:v>0</x:v>
      </x:c>
      <x:c r="N5" s="12" t="str">
        <x:f>IF(B5&gt;=5,"TIMING SAMPLE &gt;=5; VOLUME STILL SEPARATE",IF(B5&gt;0,"LOW TIMING SAMPLE","NO DATA"))</x:f>
        <x:v>NO DATA</x:v>
      </x:c>
    </x:row>
    <x:row r="6">
      <x:c r="A6" s="12" t="str">
        <x:v>DATA_ENTRY</x:v>
      </x:c>
      <x:c r="B6" s="12" t="n">
        <x:f>COUNTIF('TO Observations'!$E$2:$E$201,A6)</x:f>
        <x:v>0</x:v>
      </x:c>
      <x:c r="C6" s="18" t="n">
        <x:f>IF(B6=0,0,SUMIF('TO Observations'!$E$2:$E$201,A6,'TO Observations'!$H$2:$H$201)/B6)</x:f>
        <x:v>0</x:v>
      </x:c>
      <x:c r="D6" s="18" t="n">
        <x:f>IF(B6=0,0,SUMIF('TO Observations'!$E$2:$E$201,A6,'TO Observations'!$I$2:$I$201)/B6)</x:f>
        <x:v>0</x:v>
      </x:c>
      <x:c r="E6" s="18" t="n">
        <x:f>IF(B6=0,0,SUMIF('TO Observations'!$E$2:$E$201,A6,'TO Observations'!$Q$2:$Q$201)/B6)</x:f>
        <x:v>0</x:v>
      </x:c>
      <x:c r="F6" s="18" t="n">
        <x:f>IF(B6=0,0,SUMIF('TO Observations'!$E$2:$E$201,A6,'TO Observations'!$R$2:$R$201)/B6)</x:f>
        <x:v>0</x:v>
      </x:c>
      <x:c r="G6" s="18" t="n">
        <x:f>IF(B6=0,0,SUMIF('TO Observations'!$E$2:$E$201,A6,'TO Observations'!$S$2:$S$201)/B6)</x:f>
        <x:v>0</x:v>
      </x:c>
      <x:c r="H6" s="18" t="n">
        <x:f>IF(B6=0,220,SUMIF('TO Observations'!$E$2:$E$201,A6,'TO Observations'!$T$2:$T$201)/B6)</x:f>
        <x:v>220</x:v>
      </x:c>
      <x:c r="I6" s="18" t="n">
        <x:f>IF(B6=0,25,SUMIF('TO Observations'!$E$2:$E$201,A6,'TO Observations'!$U$2:$U$201)/B6)</x:f>
        <x:v>25</x:v>
      </x:c>
      <x:c r="J6" s="18" t="n">
        <x:f>F6*G6*H6</x:f>
        <x:v>0</x:v>
      </x:c>
      <x:c r="K6" s="18" t="n">
        <x:f>J6*C6/60</x:f>
        <x:v>0</x:v>
      </x:c>
      <x:c r="L6" s="18" t="n">
        <x:f>J6*E6/60</x:f>
        <x:v>0</x:v>
      </x:c>
      <x:c r="M6" s="26" t="n">
        <x:f>(K6+L6)*I6</x:f>
        <x:v>0</x:v>
      </x:c>
      <x:c r="N6" s="12" t="str">
        <x:f>IF(B6&gt;=5,"TIMING SAMPLE &gt;=5; VOLUME STILL SEPARATE",IF(B6&gt;0,"LOW TIMING SAMPLE","NO DATA"))</x:f>
        <x:v>NO DATA</x:v>
      </x:c>
    </x:row>
    <x:row r="7">
      <x:c r="A7" s="12" t="str">
        <x:v>CREATE_TASK</x:v>
      </x:c>
      <x:c r="B7" s="12" t="n">
        <x:f>COUNTIF('TO Observations'!$E$2:$E$201,A7)</x:f>
        <x:v>0</x:v>
      </x:c>
      <x:c r="C7" s="18" t="n">
        <x:f>IF(B7=0,0,SUMIF('TO Observations'!$E$2:$E$201,A7,'TO Observations'!$H$2:$H$201)/B7)</x:f>
        <x:v>0</x:v>
      </x:c>
      <x:c r="D7" s="18" t="n">
        <x:f>IF(B7=0,0,SUMIF('TO Observations'!$E$2:$E$201,A7,'TO Observations'!$I$2:$I$201)/B7)</x:f>
        <x:v>0</x:v>
      </x:c>
      <x:c r="E7" s="18" t="n">
        <x:f>IF(B7=0,0,SUMIF('TO Observations'!$E$2:$E$201,A7,'TO Observations'!$Q$2:$Q$201)/B7)</x:f>
        <x:v>0</x:v>
      </x:c>
      <x:c r="F7" s="18" t="n">
        <x:f>IF(B7=0,0,SUMIF('TO Observations'!$E$2:$E$201,A7,'TO Observations'!$R$2:$R$201)/B7)</x:f>
        <x:v>0</x:v>
      </x:c>
      <x:c r="G7" s="18" t="n">
        <x:f>IF(B7=0,0,SUMIF('TO Observations'!$E$2:$E$201,A7,'TO Observations'!$S$2:$S$201)/B7)</x:f>
        <x:v>0</x:v>
      </x:c>
      <x:c r="H7" s="18" t="n">
        <x:f>IF(B7=0,220,SUMIF('TO Observations'!$E$2:$E$201,A7,'TO Observations'!$T$2:$T$201)/B7)</x:f>
        <x:v>220</x:v>
      </x:c>
      <x:c r="I7" s="18" t="n">
        <x:f>IF(B7=0,25,SUMIF('TO Observations'!$E$2:$E$201,A7,'TO Observations'!$U$2:$U$201)/B7)</x:f>
        <x:v>25</x:v>
      </x:c>
      <x:c r="J7" s="18" t="n">
        <x:f>F7*G7*H7</x:f>
        <x:v>0</x:v>
      </x:c>
      <x:c r="K7" s="18" t="n">
        <x:f>J7*C7/60</x:f>
        <x:v>0</x:v>
      </x:c>
      <x:c r="L7" s="18" t="n">
        <x:f>J7*E7/60</x:f>
        <x:v>0</x:v>
      </x:c>
      <x:c r="M7" s="26" t="n">
        <x:f>(K7+L7)*I7</x:f>
        <x:v>0</x:v>
      </x:c>
      <x:c r="N7" s="12" t="str">
        <x:f>IF(B7&gt;=5,"TIMING SAMPLE &gt;=5; VOLUME STILL SEPARATE",IF(B7&gt;0,"LOW TIMING SAMPLE","NO DATA"))</x:f>
        <x:v>NO DATA</x:v>
      </x:c>
    </x:row>
    <x:row r="8">
      <x:c r="A8" s="12" t="str">
        <x:v>CHASE</x:v>
      </x:c>
      <x:c r="B8" s="12" t="n">
        <x:f>COUNTIF('TO Observations'!$E$2:$E$201,A8)</x:f>
        <x:v>0</x:v>
      </x:c>
      <x:c r="C8" s="18" t="n">
        <x:f>IF(B8=0,0,SUMIF('TO Observations'!$E$2:$E$201,A8,'TO Observations'!$H$2:$H$201)/B8)</x:f>
        <x:v>0</x:v>
      </x:c>
      <x:c r="D8" s="18" t="n">
        <x:f>IF(B8=0,0,SUMIF('TO Observations'!$E$2:$E$201,A8,'TO Observations'!$I$2:$I$201)/B8)</x:f>
        <x:v>0</x:v>
      </x:c>
      <x:c r="E8" s="18" t="n">
        <x:f>IF(B8=0,0,SUMIF('TO Observations'!$E$2:$E$201,A8,'TO Observations'!$Q$2:$Q$201)/B8)</x:f>
        <x:v>0</x:v>
      </x:c>
      <x:c r="F8" s="18" t="n">
        <x:f>IF(B8=0,0,SUMIF('TO Observations'!$E$2:$E$201,A8,'TO Observations'!$R$2:$R$201)/B8)</x:f>
        <x:v>0</x:v>
      </x:c>
      <x:c r="G8" s="18" t="n">
        <x:f>IF(B8=0,0,SUMIF('TO Observations'!$E$2:$E$201,A8,'TO Observations'!$S$2:$S$201)/B8)</x:f>
        <x:v>0</x:v>
      </x:c>
      <x:c r="H8" s="18" t="n">
        <x:f>IF(B8=0,220,SUMIF('TO Observations'!$E$2:$E$201,A8,'TO Observations'!$T$2:$T$201)/B8)</x:f>
        <x:v>220</x:v>
      </x:c>
      <x:c r="I8" s="18" t="n">
        <x:f>IF(B8=0,25,SUMIF('TO Observations'!$E$2:$E$201,A8,'TO Observations'!$U$2:$U$201)/B8)</x:f>
        <x:v>25</x:v>
      </x:c>
      <x:c r="J8" s="18" t="n">
        <x:f>F8*G8*H8</x:f>
        <x:v>0</x:v>
      </x:c>
      <x:c r="K8" s="18" t="n">
        <x:f>J8*C8/60</x:f>
        <x:v>0</x:v>
      </x:c>
      <x:c r="L8" s="18" t="n">
        <x:f>J8*E8/60</x:f>
        <x:v>0</x:v>
      </x:c>
      <x:c r="M8" s="26" t="n">
        <x:f>(K8+L8)*I8</x:f>
        <x:v>0</x:v>
      </x:c>
      <x:c r="N8" s="12" t="str">
        <x:f>IF(B8&gt;=5,"TIMING SAMPLE &gt;=5; VOLUME STILL SEPARATE",IF(B8&gt;0,"LOW TIMING SAMPLE","NO DATA"))</x:f>
        <x:v>NO DATA</x:v>
      </x:c>
    </x:row>
    <x:row r="9">
      <x:c r="A9" s="12" t="str">
        <x:v>CLIENT_UPDATE</x:v>
      </x:c>
      <x:c r="B9" s="12" t="n">
        <x:f>COUNTIF('TO Observations'!$E$2:$E$201,A9)</x:f>
        <x:v>0</x:v>
      </x:c>
      <x:c r="C9" s="18" t="n">
        <x:f>IF(B9=0,0,SUMIF('TO Observations'!$E$2:$E$201,A9,'TO Observations'!$H$2:$H$201)/B9)</x:f>
        <x:v>0</x:v>
      </x:c>
      <x:c r="D9" s="18" t="n">
        <x:f>IF(B9=0,0,SUMIF('TO Observations'!$E$2:$E$201,A9,'TO Observations'!$I$2:$I$201)/B9)</x:f>
        <x:v>0</x:v>
      </x:c>
      <x:c r="E9" s="18" t="n">
        <x:f>IF(B9=0,0,SUMIF('TO Observations'!$E$2:$E$201,A9,'TO Observations'!$Q$2:$Q$201)/B9)</x:f>
        <x:v>0</x:v>
      </x:c>
      <x:c r="F9" s="18" t="n">
        <x:f>IF(B9=0,0,SUMIF('TO Observations'!$E$2:$E$201,A9,'TO Observations'!$R$2:$R$201)/B9)</x:f>
        <x:v>0</x:v>
      </x:c>
      <x:c r="G9" s="18" t="n">
        <x:f>IF(B9=0,0,SUMIF('TO Observations'!$E$2:$E$201,A9,'TO Observations'!$S$2:$S$201)/B9)</x:f>
        <x:v>0</x:v>
      </x:c>
      <x:c r="H9" s="18" t="n">
        <x:f>IF(B9=0,220,SUMIF('TO Observations'!$E$2:$E$201,A9,'TO Observations'!$T$2:$T$201)/B9)</x:f>
        <x:v>220</x:v>
      </x:c>
      <x:c r="I9" s="18" t="n">
        <x:f>IF(B9=0,25,SUMIF('TO Observations'!$E$2:$E$201,A9,'TO Observations'!$U$2:$U$201)/B9)</x:f>
        <x:v>25</x:v>
      </x:c>
      <x:c r="J9" s="18" t="n">
        <x:f>F9*G9*H9</x:f>
        <x:v>0</x:v>
      </x:c>
      <x:c r="K9" s="18" t="n">
        <x:f>J9*C9/60</x:f>
        <x:v>0</x:v>
      </x:c>
      <x:c r="L9" s="18" t="n">
        <x:f>J9*E9/60</x:f>
        <x:v>0</x:v>
      </x:c>
      <x:c r="M9" s="26" t="n">
        <x:f>(K9+L9)*I9</x:f>
        <x:v>0</x:v>
      </x:c>
      <x:c r="N9" s="12" t="str">
        <x:f>IF(B9&gt;=5,"TIMING SAMPLE &gt;=5; VOLUME STILL SEPARATE",IF(B9&gt;0,"LOW TIMING SAMPLE","NO DATA"))</x:f>
        <x:v>NO DATA</x:v>
      </x:c>
    </x:row>
    <x:row r="10">
      <x:c r="A10" s="12" t="str">
        <x:v>DRAFT</x:v>
      </x:c>
      <x:c r="B10" s="12" t="n">
        <x:f>COUNTIF('TO Observations'!$E$2:$E$201,A10)</x:f>
        <x:v>0</x:v>
      </x:c>
      <x:c r="C10" s="18" t="n">
        <x:f>IF(B10=0,0,SUMIF('TO Observations'!$E$2:$E$201,A10,'TO Observations'!$H$2:$H$201)/B10)</x:f>
        <x:v>0</x:v>
      </x:c>
      <x:c r="D10" s="18" t="n">
        <x:f>IF(B10=0,0,SUMIF('TO Observations'!$E$2:$E$201,A10,'TO Observations'!$I$2:$I$201)/B10)</x:f>
        <x:v>0</x:v>
      </x:c>
      <x:c r="E10" s="18" t="n">
        <x:f>IF(B10=0,0,SUMIF('TO Observations'!$E$2:$E$201,A10,'TO Observations'!$Q$2:$Q$201)/B10)</x:f>
        <x:v>0</x:v>
      </x:c>
      <x:c r="F10" s="18" t="n">
        <x:f>IF(B10=0,0,SUMIF('TO Observations'!$E$2:$E$201,A10,'TO Observations'!$R$2:$R$201)/B10)</x:f>
        <x:v>0</x:v>
      </x:c>
      <x:c r="G10" s="18" t="n">
        <x:f>IF(B10=0,0,SUMIF('TO Observations'!$E$2:$E$201,A10,'TO Observations'!$S$2:$S$201)/B10)</x:f>
        <x:v>0</x:v>
      </x:c>
      <x:c r="H10" s="18" t="n">
        <x:f>IF(B10=0,220,SUMIF('TO Observations'!$E$2:$E$201,A10,'TO Observations'!$T$2:$T$201)/B10)</x:f>
        <x:v>220</x:v>
      </x:c>
      <x:c r="I10" s="18" t="n">
        <x:f>IF(B10=0,25,SUMIF('TO Observations'!$E$2:$E$201,A10,'TO Observations'!$U$2:$U$201)/B10)</x:f>
        <x:v>25</x:v>
      </x:c>
      <x:c r="J10" s="18" t="n">
        <x:f>F10*G10*H10</x:f>
        <x:v>0</x:v>
      </x:c>
      <x:c r="K10" s="18" t="n">
        <x:f>J10*C10/60</x:f>
        <x:v>0</x:v>
      </x:c>
      <x:c r="L10" s="18" t="n">
        <x:f>J10*E10/60</x:f>
        <x:v>0</x:v>
      </x:c>
      <x:c r="M10" s="26" t="n">
        <x:f>(K10+L10)*I10</x:f>
        <x:v>0</x:v>
      </x:c>
      <x:c r="N10" s="12" t="str">
        <x:f>IF(B10&gt;=5,"TIMING SAMPLE &gt;=5; VOLUME STILL SEPARATE",IF(B10&gt;0,"LOW TIMING SAMPLE","NO DATA"))</x:f>
        <x:v>NO DATA</x:v>
      </x:c>
    </x:row>
    <x:row r="11">
      <x:c r="A11" s="12" t="str">
        <x:v>REVIEW</x:v>
      </x:c>
      <x:c r="B11" s="12" t="n">
        <x:f>COUNTIF('TO Observations'!$E$2:$E$201,A11)</x:f>
        <x:v>0</x:v>
      </x:c>
      <x:c r="C11" s="18" t="n">
        <x:f>IF(B11=0,0,SUMIF('TO Observations'!$E$2:$E$201,A11,'TO Observations'!$H$2:$H$201)/B11)</x:f>
        <x:v>0</x:v>
      </x:c>
      <x:c r="D11" s="18" t="n">
        <x:f>IF(B11=0,0,SUMIF('TO Observations'!$E$2:$E$201,A11,'TO Observations'!$I$2:$I$201)/B11)</x:f>
        <x:v>0</x:v>
      </x:c>
      <x:c r="E11" s="18" t="n">
        <x:f>IF(B11=0,0,SUMIF('TO Observations'!$E$2:$E$201,A11,'TO Observations'!$Q$2:$Q$201)/B11)</x:f>
        <x:v>0</x:v>
      </x:c>
      <x:c r="F11" s="18" t="n">
        <x:f>IF(B11=0,0,SUMIF('TO Observations'!$E$2:$E$201,A11,'TO Observations'!$R$2:$R$201)/B11)</x:f>
        <x:v>0</x:v>
      </x:c>
      <x:c r="G11" s="18" t="n">
        <x:f>IF(B11=0,0,SUMIF('TO Observations'!$E$2:$E$201,A11,'TO Observations'!$S$2:$S$201)/B11)</x:f>
        <x:v>0</x:v>
      </x:c>
      <x:c r="H11" s="18" t="n">
        <x:f>IF(B11=0,220,SUMIF('TO Observations'!$E$2:$E$201,A11,'TO Observations'!$T$2:$T$201)/B11)</x:f>
        <x:v>220</x:v>
      </x:c>
      <x:c r="I11" s="18" t="n">
        <x:f>IF(B11=0,25,SUMIF('TO Observations'!$E$2:$E$201,A11,'TO Observations'!$U$2:$U$201)/B11)</x:f>
        <x:v>25</x:v>
      </x:c>
      <x:c r="J11" s="18" t="n">
        <x:f>F11*G11*H11</x:f>
        <x:v>0</x:v>
      </x:c>
      <x:c r="K11" s="18" t="n">
        <x:f>J11*C11/60</x:f>
        <x:v>0</x:v>
      </x:c>
      <x:c r="L11" s="18" t="n">
        <x:f>J11*E11/60</x:f>
        <x:v>0</x:v>
      </x:c>
      <x:c r="M11" s="26" t="n">
        <x:f>(K11+L11)*I11</x:f>
        <x:v>0</x:v>
      </x:c>
      <x:c r="N11" s="12" t="str">
        <x:f>IF(B11&gt;=5,"TIMING SAMPLE &gt;=5; VOLUME STILL SEPARATE",IF(B11&gt;0,"LOW TIMING SAMPLE","NO DATA"))</x:f>
        <x:v>NO DATA</x:v>
      </x:c>
    </x:row>
    <x:row r="12">
      <x:c r="A12" s="12" t="str">
        <x:v>DEADLINE</x:v>
      </x:c>
      <x:c r="B12" s="12" t="n">
        <x:f>COUNTIF('TO Observations'!$E$2:$E$201,A12)</x:f>
        <x:v>0</x:v>
      </x:c>
      <x:c r="C12" s="18" t="n">
        <x:f>IF(B12=0,0,SUMIF('TO Observations'!$E$2:$E$201,A12,'TO Observations'!$H$2:$H$201)/B12)</x:f>
        <x:v>0</x:v>
      </x:c>
      <x:c r="D12" s="18" t="n">
        <x:f>IF(B12=0,0,SUMIF('TO Observations'!$E$2:$E$201,A12,'TO Observations'!$I$2:$I$201)/B12)</x:f>
        <x:v>0</x:v>
      </x:c>
      <x:c r="E12" s="18" t="n">
        <x:f>IF(B12=0,0,SUMIF('TO Observations'!$E$2:$E$201,A12,'TO Observations'!$Q$2:$Q$201)/B12)</x:f>
        <x:v>0</x:v>
      </x:c>
      <x:c r="F12" s="18" t="n">
        <x:f>IF(B12=0,0,SUMIF('TO Observations'!$E$2:$E$201,A12,'TO Observations'!$R$2:$R$201)/B12)</x:f>
        <x:v>0</x:v>
      </x:c>
      <x:c r="G12" s="18" t="n">
        <x:f>IF(B12=0,0,SUMIF('TO Observations'!$E$2:$E$201,A12,'TO Observations'!$S$2:$S$201)/B12)</x:f>
        <x:v>0</x:v>
      </x:c>
      <x:c r="H12" s="18" t="n">
        <x:f>IF(B12=0,220,SUMIF('TO Observations'!$E$2:$E$201,A12,'TO Observations'!$T$2:$T$201)/B12)</x:f>
        <x:v>220</x:v>
      </x:c>
      <x:c r="I12" s="18" t="n">
        <x:f>IF(B12=0,25,SUMIF('TO Observations'!$E$2:$E$201,A12,'TO Observations'!$U$2:$U$201)/B12)</x:f>
        <x:v>25</x:v>
      </x:c>
      <x:c r="J12" s="18" t="n">
        <x:f>F12*G12*H12</x:f>
        <x:v>0</x:v>
      </x:c>
      <x:c r="K12" s="18" t="n">
        <x:f>J12*C12/60</x:f>
        <x:v>0</x:v>
      </x:c>
      <x:c r="L12" s="18" t="n">
        <x:f>J12*E12/60</x:f>
        <x:v>0</x:v>
      </x:c>
      <x:c r="M12" s="26" t="n">
        <x:f>(K12+L12)*I12</x:f>
        <x:v>0</x:v>
      </x:c>
      <x:c r="N12" s="12" t="str">
        <x:f>IF(B12&gt;=5,"TIMING SAMPLE &gt;=5; VOLUME STILL SEPARATE",IF(B12&gt;0,"LOW TIMING SAMPLE","NO DATA"))</x:f>
        <x:v>NO DATA</x:v>
      </x:c>
    </x:row>
    <x:row r="13">
      <x:c r="A13" s="12" t="str">
        <x:v>EVIDENCE</x:v>
      </x:c>
      <x:c r="B13" s="12" t="n">
        <x:f>COUNTIF('TO Observations'!$E$2:$E$201,A13)</x:f>
        <x:v>0</x:v>
      </x:c>
      <x:c r="C13" s="18" t="n">
        <x:f>IF(B13=0,0,SUMIF('TO Observations'!$E$2:$E$201,A13,'TO Observations'!$H$2:$H$201)/B13)</x:f>
        <x:v>0</x:v>
      </x:c>
      <x:c r="D13" s="18" t="n">
        <x:f>IF(B13=0,0,SUMIF('TO Observations'!$E$2:$E$201,A13,'TO Observations'!$I$2:$I$201)/B13)</x:f>
        <x:v>0</x:v>
      </x:c>
      <x:c r="E13" s="18" t="n">
        <x:f>IF(B13=0,0,SUMIF('TO Observations'!$E$2:$E$201,A13,'TO Observations'!$Q$2:$Q$201)/B13)</x:f>
        <x:v>0</x:v>
      </x:c>
      <x:c r="F13" s="18" t="n">
        <x:f>IF(B13=0,0,SUMIF('TO Observations'!$E$2:$E$201,A13,'TO Observations'!$R$2:$R$201)/B13)</x:f>
        <x:v>0</x:v>
      </x:c>
      <x:c r="G13" s="18" t="n">
        <x:f>IF(B13=0,0,SUMIF('TO Observations'!$E$2:$E$201,A13,'TO Observations'!$S$2:$S$201)/B13)</x:f>
        <x:v>0</x:v>
      </x:c>
      <x:c r="H13" s="18" t="n">
        <x:f>IF(B13=0,220,SUMIF('TO Observations'!$E$2:$E$201,A13,'TO Observations'!$T$2:$T$201)/B13)</x:f>
        <x:v>220</x:v>
      </x:c>
      <x:c r="I13" s="18" t="n">
        <x:f>IF(B13=0,25,SUMIF('TO Observations'!$E$2:$E$201,A13,'TO Observations'!$U$2:$U$201)/B13)</x:f>
        <x:v>25</x:v>
      </x:c>
      <x:c r="J13" s="18" t="n">
        <x:f>F13*G13*H13</x:f>
        <x:v>0</x:v>
      </x:c>
      <x:c r="K13" s="18" t="n">
        <x:f>J13*C13/60</x:f>
        <x:v>0</x:v>
      </x:c>
      <x:c r="L13" s="18" t="n">
        <x:f>J13*E13/60</x:f>
        <x:v>0</x:v>
      </x:c>
      <x:c r="M13" s="26" t="n">
        <x:f>(K13+L13)*I13</x:f>
        <x:v>0</x:v>
      </x:c>
      <x:c r="N13" s="12" t="str">
        <x:f>IF(B13&gt;=5,"TIMING SAMPLE &gt;=5; VOLUME STILL SEPARATE",IF(B13&gt;0,"LOW TIMING SAMPLE","NO DATA"))</x:f>
        <x:v>NO DATA</x:v>
      </x:c>
    </x:row>
    <x:row r="14">
      <x:c r="A14" s="12" t="str">
        <x:v>INTAKE</x:v>
      </x:c>
      <x:c r="B14" s="12" t="n">
        <x:f>COUNTIF('TO Observations'!$E$2:$E$201,A14)</x:f>
        <x:v>0</x:v>
      </x:c>
      <x:c r="C14" s="18" t="n">
        <x:f>IF(B14=0,0,SUMIF('TO Observations'!$E$2:$E$201,A14,'TO Observations'!$H$2:$H$201)/B14)</x:f>
        <x:v>0</x:v>
      </x:c>
      <x:c r="D14" s="18" t="n">
        <x:f>IF(B14=0,0,SUMIF('TO Observations'!$E$2:$E$201,A14,'TO Observations'!$I$2:$I$201)/B14)</x:f>
        <x:v>0</x:v>
      </x:c>
      <x:c r="E14" s="18" t="n">
        <x:f>IF(B14=0,0,SUMIF('TO Observations'!$E$2:$E$201,A14,'TO Observations'!$Q$2:$Q$201)/B14)</x:f>
        <x:v>0</x:v>
      </x:c>
      <x:c r="F14" s="18" t="n">
        <x:f>IF(B14=0,0,SUMIF('TO Observations'!$E$2:$E$201,A14,'TO Observations'!$R$2:$R$201)/B14)</x:f>
        <x:v>0</x:v>
      </x:c>
      <x:c r="G14" s="18" t="n">
        <x:f>IF(B14=0,0,SUMIF('TO Observations'!$E$2:$E$201,A14,'TO Observations'!$S$2:$S$201)/B14)</x:f>
        <x:v>0</x:v>
      </x:c>
      <x:c r="H14" s="18" t="n">
        <x:f>IF(B14=0,220,SUMIF('TO Observations'!$E$2:$E$201,A14,'TO Observations'!$T$2:$T$201)/B14)</x:f>
        <x:v>220</x:v>
      </x:c>
      <x:c r="I14" s="18" t="n">
        <x:f>IF(B14=0,25,SUMIF('TO Observations'!$E$2:$E$201,A14,'TO Observations'!$U$2:$U$201)/B14)</x:f>
        <x:v>25</x:v>
      </x:c>
      <x:c r="J14" s="18" t="n">
        <x:f>F14*G14*H14</x:f>
        <x:v>0</x:v>
      </x:c>
      <x:c r="K14" s="18" t="n">
        <x:f>J14*C14/60</x:f>
        <x:v>0</x:v>
      </x:c>
      <x:c r="L14" s="18" t="n">
        <x:f>J14*E14/60</x:f>
        <x:v>0</x:v>
      </x:c>
      <x:c r="M14" s="26" t="n">
        <x:f>(K14+L14)*I14</x:f>
        <x:v>0</x:v>
      </x:c>
      <x:c r="N14" s="12" t="str">
        <x:f>IF(B14&gt;=5,"TIMING SAMPLE &gt;=5; VOLUME STILL SEPARATE",IF(B14&gt;0,"LOW TIMING SAMPLE","NO DATA"))</x:f>
        <x:v>NO DATA</x:v>
      </x:c>
    </x:row>
    <x:row r="15">
      <x:c r="A15" s="12" t="str">
        <x:v>BILLING</x:v>
      </x:c>
      <x:c r="B15" s="12" t="n">
        <x:f>COUNTIF('TO Observations'!$E$2:$E$201,A15)</x:f>
        <x:v>0</x:v>
      </x:c>
      <x:c r="C15" s="18" t="n">
        <x:f>IF(B15=0,0,SUMIF('TO Observations'!$E$2:$E$201,A15,'TO Observations'!$H$2:$H$201)/B15)</x:f>
        <x:v>0</x:v>
      </x:c>
      <x:c r="D15" s="18" t="n">
        <x:f>IF(B15=0,0,SUMIF('TO Observations'!$E$2:$E$201,A15,'TO Observations'!$I$2:$I$201)/B15)</x:f>
        <x:v>0</x:v>
      </x:c>
      <x:c r="E15" s="18" t="n">
        <x:f>IF(B15=0,0,SUMIF('TO Observations'!$E$2:$E$201,A15,'TO Observations'!$Q$2:$Q$201)/B15)</x:f>
        <x:v>0</x:v>
      </x:c>
      <x:c r="F15" s="18" t="n">
        <x:f>IF(B15=0,0,SUMIF('TO Observations'!$E$2:$E$201,A15,'TO Observations'!$R$2:$R$201)/B15)</x:f>
        <x:v>0</x:v>
      </x:c>
      <x:c r="G15" s="18" t="n">
        <x:f>IF(B15=0,0,SUMIF('TO Observations'!$E$2:$E$201,A15,'TO Observations'!$S$2:$S$201)/B15)</x:f>
        <x:v>0</x:v>
      </x:c>
      <x:c r="H15" s="18" t="n">
        <x:f>IF(B15=0,220,SUMIF('TO Observations'!$E$2:$E$201,A15,'TO Observations'!$T$2:$T$201)/B15)</x:f>
        <x:v>220</x:v>
      </x:c>
      <x:c r="I15" s="18" t="n">
        <x:f>IF(B15=0,25,SUMIF('TO Observations'!$E$2:$E$201,A15,'TO Observations'!$U$2:$U$201)/B15)</x:f>
        <x:v>25</x:v>
      </x:c>
      <x:c r="J15" s="18" t="n">
        <x:f>F15*G15*H15</x:f>
        <x:v>0</x:v>
      </x:c>
      <x:c r="K15" s="18" t="n">
        <x:f>J15*C15/60</x:f>
        <x:v>0</x:v>
      </x:c>
      <x:c r="L15" s="18" t="n">
        <x:f>J15*E15/60</x:f>
        <x:v>0</x:v>
      </x:c>
      <x:c r="M15" s="26" t="n">
        <x:f>(K15+L15)*I15</x:f>
        <x:v>0</x:v>
      </x:c>
      <x:c r="N15" s="12" t="str">
        <x:f>IF(B15&gt;=5,"TIMING SAMPLE &gt;=5; VOLUME STILL SEPARATE",IF(B15&gt;0,"LOW TIMING SAMPLE","NO DATA"))</x:f>
        <x:v>NO DATA</x:v>
      </x:c>
    </x:row>
    <x:row r="16">
      <x:c r="A16" s="12" t="str">
        <x:v>SEARCH</x:v>
      </x:c>
      <x:c r="B16" s="12" t="n">
        <x:f>COUNTIF('TO Observations'!$E$2:$E$201,A16)</x:f>
        <x:v>0</x:v>
      </x:c>
      <x:c r="C16" s="18" t="n">
        <x:f>IF(B16=0,0,SUMIF('TO Observations'!$E$2:$E$201,A16,'TO Observations'!$H$2:$H$201)/B16)</x:f>
        <x:v>0</x:v>
      </x:c>
      <x:c r="D16" s="18" t="n">
        <x:f>IF(B16=0,0,SUMIF('TO Observations'!$E$2:$E$201,A16,'TO Observations'!$I$2:$I$201)/B16)</x:f>
        <x:v>0</x:v>
      </x:c>
      <x:c r="E16" s="18" t="n">
        <x:f>IF(B16=0,0,SUMIF('TO Observations'!$E$2:$E$201,A16,'TO Observations'!$Q$2:$Q$201)/B16)</x:f>
        <x:v>0</x:v>
      </x:c>
      <x:c r="F16" s="18" t="n">
        <x:f>IF(B16=0,0,SUMIF('TO Observations'!$E$2:$E$201,A16,'TO Observations'!$R$2:$R$201)/B16)</x:f>
        <x:v>0</x:v>
      </x:c>
      <x:c r="G16" s="18" t="n">
        <x:f>IF(B16=0,0,SUMIF('TO Observations'!$E$2:$E$201,A16,'TO Observations'!$S$2:$S$201)/B16)</x:f>
        <x:v>0</x:v>
      </x:c>
      <x:c r="H16" s="18" t="n">
        <x:f>IF(B16=0,220,SUMIF('TO Observations'!$E$2:$E$201,A16,'TO Observations'!$T$2:$T$201)/B16)</x:f>
        <x:v>220</x:v>
      </x:c>
      <x:c r="I16" s="18" t="n">
        <x:f>IF(B16=0,25,SUMIF('TO Observations'!$E$2:$E$201,A16,'TO Observations'!$U$2:$U$201)/B16)</x:f>
        <x:v>25</x:v>
      </x:c>
      <x:c r="J16" s="18" t="n">
        <x:f>F16*G16*H16</x:f>
        <x:v>0</x:v>
      </x:c>
      <x:c r="K16" s="18" t="n">
        <x:f>J16*C16/60</x:f>
        <x:v>0</x:v>
      </x:c>
      <x:c r="L16" s="18" t="n">
        <x:f>J16*E16/60</x:f>
        <x:v>0</x:v>
      </x:c>
      <x:c r="M16" s="26" t="n">
        <x:f>(K16+L16)*I16</x:f>
        <x:v>0</x:v>
      </x:c>
      <x:c r="N16" s="12" t="str">
        <x:f>IF(B16&gt;=5,"TIMING SAMPLE &gt;=5; VOLUME STILL SEPARATE",IF(B16&gt;0,"LOW TIMING SAMPLE","NO DATA"))</x:f>
        <x:v>NO DATA</x:v>
      </x:c>
    </x:row>
    <x:row r="17">
      <x:c r="A17" s="12" t="str">
        <x:v>REPORT</x:v>
      </x:c>
      <x:c r="B17" s="12" t="n">
        <x:f>COUNTIF('TO Observations'!$E$2:$E$201,A17)</x:f>
        <x:v>0</x:v>
      </x:c>
      <x:c r="C17" s="18" t="n">
        <x:f>IF(B17=0,0,SUMIF('TO Observations'!$E$2:$E$201,A17,'TO Observations'!$H$2:$H$201)/B17)</x:f>
        <x:v>0</x:v>
      </x:c>
      <x:c r="D17" s="18" t="n">
        <x:f>IF(B17=0,0,SUMIF('TO Observations'!$E$2:$E$201,A17,'TO Observations'!$I$2:$I$201)/B17)</x:f>
        <x:v>0</x:v>
      </x:c>
      <x:c r="E17" s="18" t="n">
        <x:f>IF(B17=0,0,SUMIF('TO Observations'!$E$2:$E$201,A17,'TO Observations'!$Q$2:$Q$201)/B17)</x:f>
        <x:v>0</x:v>
      </x:c>
      <x:c r="F17" s="18" t="n">
        <x:f>IF(B17=0,0,SUMIF('TO Observations'!$E$2:$E$201,A17,'TO Observations'!$R$2:$R$201)/B17)</x:f>
        <x:v>0</x:v>
      </x:c>
      <x:c r="G17" s="18" t="n">
        <x:f>IF(B17=0,0,SUMIF('TO Observations'!$E$2:$E$201,A17,'TO Observations'!$S$2:$S$201)/B17)</x:f>
        <x:v>0</x:v>
      </x:c>
      <x:c r="H17" s="18" t="n">
        <x:f>IF(B17=0,220,SUMIF('TO Observations'!$E$2:$E$201,A17,'TO Observations'!$T$2:$T$201)/B17)</x:f>
        <x:v>220</x:v>
      </x:c>
      <x:c r="I17" s="18" t="n">
        <x:f>IF(B17=0,25,SUMIF('TO Observations'!$E$2:$E$201,A17,'TO Observations'!$U$2:$U$201)/B17)</x:f>
        <x:v>25</x:v>
      </x:c>
      <x:c r="J17" s="18" t="n">
        <x:f>F17*G17*H17</x:f>
        <x:v>0</x:v>
      </x:c>
      <x:c r="K17" s="18" t="n">
        <x:f>J17*C17/60</x:f>
        <x:v>0</x:v>
      </x:c>
      <x:c r="L17" s="18" t="n">
        <x:f>J17*E17/60</x:f>
        <x:v>0</x:v>
      </x:c>
      <x:c r="M17" s="26" t="n">
        <x:f>(K17+L17)*I17</x:f>
        <x:v>0</x:v>
      </x:c>
      <x:c r="N17" s="12" t="str">
        <x:f>IF(B17&gt;=5,"TIMING SAMPLE &gt;=5; VOLUME STILL SEPARATE",IF(B17&gt;0,"LOW TIMING SAMPLE","NO DATA"))</x:f>
        <x:v>NO DATA</x:v>
      </x:c>
    </x:row>
    <x:row r="18">
      <x:c r="A18" s="12" t="str">
        <x:v>OTHER</x:v>
      </x:c>
      <x:c r="B18" s="12" t="n">
        <x:f>COUNTIF('TO Observations'!$E$2:$E$201,A18)</x:f>
        <x:v>0</x:v>
      </x:c>
      <x:c r="C18" s="18" t="n">
        <x:f>IF(B18=0,0,SUMIF('TO Observations'!$E$2:$E$201,A18,'TO Observations'!$H$2:$H$201)/B18)</x:f>
        <x:v>0</x:v>
      </x:c>
      <x:c r="D18" s="18" t="n">
        <x:f>IF(B18=0,0,SUMIF('TO Observations'!$E$2:$E$201,A18,'TO Observations'!$I$2:$I$201)/B18)</x:f>
        <x:v>0</x:v>
      </x:c>
      <x:c r="E18" s="18" t="n">
        <x:f>IF(B18=0,0,SUMIF('TO Observations'!$E$2:$E$201,A18,'TO Observations'!$Q$2:$Q$201)/B18)</x:f>
        <x:v>0</x:v>
      </x:c>
      <x:c r="F18" s="18" t="n">
        <x:f>IF(B18=0,0,SUMIF('TO Observations'!$E$2:$E$201,A18,'TO Observations'!$R$2:$R$201)/B18)</x:f>
        <x:v>0</x:v>
      </x:c>
      <x:c r="G18" s="18" t="n">
        <x:f>IF(B18=0,0,SUMIF('TO Observations'!$E$2:$E$201,A18,'TO Observations'!$S$2:$S$201)/B18)</x:f>
        <x:v>0</x:v>
      </x:c>
      <x:c r="H18" s="18" t="n">
        <x:f>IF(B18=0,220,SUMIF('TO Observations'!$E$2:$E$201,A18,'TO Observations'!$T$2:$T$201)/B18)</x:f>
        <x:v>220</x:v>
      </x:c>
      <x:c r="I18" s="18" t="n">
        <x:f>IF(B18=0,25,SUMIF('TO Observations'!$E$2:$E$201,A18,'TO Observations'!$U$2:$U$201)/B18)</x:f>
        <x:v>25</x:v>
      </x:c>
      <x:c r="J18" s="18" t="n">
        <x:f>F18*G18*H18</x:f>
        <x:v>0</x:v>
      </x:c>
      <x:c r="K18" s="18" t="n">
        <x:f>J18*C18/60</x:f>
        <x:v>0</x:v>
      </x:c>
      <x:c r="L18" s="18" t="n">
        <x:f>J18*E18/60</x:f>
        <x:v>0</x:v>
      </x:c>
      <x:c r="M18" s="26" t="n">
        <x:f>(K18+L18)*I18</x:f>
        <x:v>0</x:v>
      </x:c>
      <x:c r="N18" s="12" t="str">
        <x:f>IF(B18&gt;=5,"TIMING SAMPLE &gt;=5; VOLUME STILL SEPARATE",IF(B18&gt;0,"LOW TIMING SAMPLE","NO DATA"))</x:f>
        <x:v>NO DATA</x:v>
      </x:c>
    </x:row>
    <x:row r="19">
      <x:c r="A19" s="82" t="str">
        <x:v>IMPORTANT</x:v>
      </x:c>
      <x:c r="B19" s="82"/>
      <x:c r="C19" s="82"/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 t="str"/>
    </x:row>
    <x:row r="20">
      <x:c r="A20" s="82" t="str">
        <x:v>This sheet is an OBSERVED CATEGORY VIEW. Do not use its annual capacity columns as decision-grade economics.</x:v>
      </x:c>
      <x:c r="B20" s="82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 t="str"/>
    </x:row>
    <x:row r="21">
      <x:c r="A21" s="82" t="str">
        <x:v>Decision-grade provisional annualisation now lives in Task Family Analysis and requires validated Volume Validation rows.</x:v>
      </x:c>
      <x:c r="B21" s="82"/>
      <x:c r="C21" s="82"/>
      <x:c r="D21" s="82"/>
      <x:c r="E21" s="82"/>
      <x:c r="F21" s="82"/>
      <x:c r="G21" s="82"/>
      <x:c r="H21" s="82"/>
      <x:c r="I21" s="82"/>
      <x:c r="J21" s="82"/>
      <x:c r="K21" s="82"/>
      <x:c r="L21" s="82"/>
      <x:c r="M21" s="82"/>
      <x:c r="N21" s="82" t="str"/>
    </x:row>
  </x:sheetData>
  <x:conditionalFormatting sqref="M2:M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{BE9E0D8A-B804-5986-3472-446514AB9283}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9E0D8A-B804-5986-3472-446514AB9283}">
            <x14:dataBar gradient="1">
              <x14:cfvo type="min"/>
              <x14:cfvo type="max"/>
              <x14:fillColor rgb="FFA02B93"/>
            </x14:dataBar>
          </x14:cfRule>
          <xm:sqref>M2:M18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>
      <x:c r="A1" s="6" t="str">
        <x:v>Workflow</x:v>
      </x:c>
      <x:c r="B1" s="6" t="str">
        <x:v>Annual Capacity Cost (validated/manual)</x:v>
      </x:c>
      <x:c r="C1" s="6" t="str">
        <x:v>Capacity Score</x:v>
      </x:c>
      <x:c r="D1" s="6" t="str">
        <x:v>Frequency</x:v>
      </x:c>
      <x:c r="E1" s="6" t="str">
        <x:v>Standardisation</x:v>
      </x:c>
      <x:c r="F1" s="6" t="str">
        <x:v>Automation Ceiling</x:v>
      </x:c>
      <x:c r="G1" s="6" t="str">
        <x:v>Technical Feasibility</x:v>
      </x:c>
      <x:c r="H1" s="6" t="str">
        <x:v>Error Safety</x:v>
      </x:c>
      <x:c r="I1" s="6" t="str">
        <x:v>Pilot Simplicity</x:v>
      </x:c>
      <x:c r="J1" s="6" t="str">
        <x:v>Buyer Pain</x:v>
      </x:c>
      <x:c r="K1" s="6" t="str">
        <x:v>ACV Potential</x:v>
      </x:c>
      <x:c r="L1" s="6" t="str">
        <x:v>Expansion Value</x:v>
      </x:c>
      <x:c r="M1" s="6" t="str">
        <x:v>Weighted Score /100</x:v>
      </x:c>
      <x:c r="N1" s="6" t="str">
        <x:v>Evidence Completeness %</x:v>
      </x:c>
      <x:c r="O1" s="6" t="str">
        <x:v>Decision</x:v>
      </x:c>
      <x:c r="P1" s="6" t="str">
        <x:v>Notes</x:v>
      </x:c>
    </x:row>
    <x:row r="2">
      <x:c r="A2" s="12" t="str">
        <x:v>Email/document filing</x:v>
      </x:c>
      <x:c r="B2" s="26"/>
      <x:c r="C2" s="12" t="n">
        <x:f>IF(B2&lt;5000,0,IF(B2&lt;15000,1,IF(B2&lt;30000,2,IF(B2&lt;60000,3,IF(B2&lt;120000,4,5)))))</x:f>
        <x:v>0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6" t="n">
        <x:f>IF(N2&lt;1,0,(C2*20+D2*10+E2*10+F2*15+G2*10+H2*10+I2*10+J2*5+K2*5+L2*5)/5)</x:f>
        <x:v>0</x:v>
      </x:c>
      <x:c r="N2" s="32" t="n">
        <x:f>COUNTA(D2:L2)/9</x:f>
        <x:v>0</x:v>
      </x:c>
      <x:c r="O2" s="12" t="str">
        <x:f>IF(N2&lt;0.75,"INSUFFICIENT DATA",IF(M2&gt;=75,"PRIORITY",IF(M2&gt;=60,"VALIDATE",IF(M2&gt;=45,"SECONDARY","DEPRIORITIZE"))))</x:f>
        <x:v>INSUFFICIENT DATA</x:v>
      </x:c>
      <x:c r="P2" s="12" t="str">
        <x:v>Annual capacity must be taken from validated Task Family × Role analysis; do not rely on legacy category averages.</x:v>
      </x:c>
    </x:row>
    <x:row r="3">
      <x:c r="A3" s="12" t="str">
        <x:v>Matter matching</x:v>
      </x:c>
      <x:c r="B3" s="26"/>
      <x:c r="C3" s="12" t="n">
        <x:f>IF(B3&lt;5000,0,IF(B3&lt;15000,1,IF(B3&lt;30000,2,IF(B3&lt;60000,3,IF(B3&lt;120000,4,5)))))</x:f>
        <x:v>0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6" t="n">
        <x:f>IF(N3&lt;1,0,(C3*20+D3*10+E3*10+F3*15+G3*10+H3*10+I3*10+J3*5+K3*5+L3*5)/5)</x:f>
        <x:v>0</x:v>
      </x:c>
      <x:c r="N3" s="32" t="n">
        <x:f>COUNTA(D3:L3)/9</x:f>
        <x:v>0</x:v>
      </x:c>
      <x:c r="O3" s="12" t="str">
        <x:f>IF(N3&lt;0.75,"INSUFFICIENT DATA",IF(M3&gt;=75,"PRIORITY",IF(M3&gt;=60,"VALIDATE",IF(M3&gt;=45,"SECONDARY","DEPRIORITIZE"))))</x:f>
        <x:v>INSUFFICIENT DATA</x:v>
      </x:c>
      <x:c r="P3" s="12" t="str">
        <x:v>Annual capacity must be taken from validated Task Family × Role analysis; do not rely on legacy category averages.</x:v>
      </x:c>
    </x:row>
    <x:row r="4">
      <x:c r="A4" s="12" t="str">
        <x:v>Task creation from inbound</x:v>
      </x:c>
      <x:c r="B4" s="26"/>
      <x:c r="C4" s="12" t="n">
        <x:f>IF(B4&lt;5000,0,IF(B4&lt;15000,1,IF(B4&lt;30000,2,IF(B4&lt;60000,3,IF(B4&lt;120000,4,5)))))</x:f>
        <x:v>0</x:v>
      </x:c>
      <x:c r="D4" s="12"/>
      <x:c r="E4" s="12"/>
      <x:c r="F4" s="12"/>
      <x:c r="G4" s="12"/>
      <x:c r="H4" s="12"/>
      <x:c r="I4" s="12"/>
      <x:c r="J4" s="12"/>
      <x:c r="K4" s="12"/>
      <x:c r="L4" s="12"/>
      <x:c r="M4" s="16" t="n">
        <x:f>IF(N4&lt;1,0,(C4*20+D4*10+E4*10+F4*15+G4*10+H4*10+I4*10+J4*5+K4*5+L4*5)/5)</x:f>
        <x:v>0</x:v>
      </x:c>
      <x:c r="N4" s="32" t="n">
        <x:f>COUNTA(D4:L4)/9</x:f>
        <x:v>0</x:v>
      </x:c>
      <x:c r="O4" s="12" t="str">
        <x:f>IF(N4&lt;0.75,"INSUFFICIENT DATA",IF(M4&gt;=75,"PRIORITY",IF(M4&gt;=60,"VALIDATE",IF(M4&gt;=45,"SECONDARY","DEPRIORITIZE"))))</x:f>
        <x:v>INSUFFICIENT DATA</x:v>
      </x:c>
      <x:c r="P4" s="12" t="str">
        <x:v>Annual capacity must be taken from validated Task Family × Role analysis; do not rely on legacy category averages.</x:v>
      </x:c>
    </x:row>
    <x:row r="5">
      <x:c r="A5" s="12" t="str">
        <x:v>Third-party chasing</x:v>
      </x:c>
      <x:c r="B5" s="26"/>
      <x:c r="C5" s="12" t="n">
        <x:f>IF(B5&lt;5000,0,IF(B5&lt;15000,1,IF(B5&lt;30000,2,IF(B5&lt;60000,3,IF(B5&lt;120000,4,5)))))</x:f>
        <x:v>0</x:v>
      </x:c>
      <x:c r="D5" s="12"/>
      <x:c r="E5" s="12"/>
      <x:c r="F5" s="12"/>
      <x:c r="G5" s="12"/>
      <x:c r="H5" s="12"/>
      <x:c r="I5" s="12"/>
      <x:c r="J5" s="12"/>
      <x:c r="K5" s="12"/>
      <x:c r="L5" s="12"/>
      <x:c r="M5" s="16" t="n">
        <x:f>IF(N5&lt;1,0,(C5*20+D5*10+E5*10+F5*15+G5*10+H5*10+I5*10+J5*5+K5*5+L5*5)/5)</x:f>
        <x:v>0</x:v>
      </x:c>
      <x:c r="N5" s="32" t="n">
        <x:f>COUNTA(D5:L5)/9</x:f>
        <x:v>0</x:v>
      </x:c>
      <x:c r="O5" s="12" t="str">
        <x:f>IF(N5&lt;0.75,"INSUFFICIENT DATA",IF(M5&gt;=75,"PRIORITY",IF(M5&gt;=60,"VALIDATE",IF(M5&gt;=45,"SECONDARY","DEPRIORITIZE"))))</x:f>
        <x:v>INSUFFICIENT DATA</x:v>
      </x:c>
      <x:c r="P5" s="12" t="str">
        <x:v>Annual capacity must be taken from validated Task Family × Role analysis; do not rely on legacy category averages.</x:v>
      </x:c>
    </x:row>
    <x:row r="6">
      <x:c r="A6" s="12" t="str">
        <x:v>Evidence/record requests</x:v>
      </x:c>
      <x:c r="B6" s="26"/>
      <x:c r="C6" s="12" t="n">
        <x:f>IF(B6&lt;5000,0,IF(B6&lt;15000,1,IF(B6&lt;30000,2,IF(B6&lt;60000,3,IF(B6&lt;120000,4,5)))))</x:f>
        <x:v>0</x:v>
      </x:c>
      <x:c r="D6" s="12"/>
      <x:c r="E6" s="12"/>
      <x:c r="F6" s="12"/>
      <x:c r="G6" s="12"/>
      <x:c r="H6" s="12"/>
      <x:c r="I6" s="12"/>
      <x:c r="J6" s="12"/>
      <x:c r="K6" s="12"/>
      <x:c r="L6" s="12"/>
      <x:c r="M6" s="16" t="n">
        <x:f>IF(N6&lt;1,0,(C6*20+D6*10+E6*10+F6*15+G6*10+H6*10+I6*10+J6*5+K6*5+L6*5)/5)</x:f>
        <x:v>0</x:v>
      </x:c>
      <x:c r="N6" s="32" t="n">
        <x:f>COUNTA(D6:L6)/9</x:f>
        <x:v>0</x:v>
      </x:c>
      <x:c r="O6" s="12" t="str">
        <x:f>IF(N6&lt;0.75,"INSUFFICIENT DATA",IF(M6&gt;=75,"PRIORITY",IF(M6&gt;=60,"VALIDATE",IF(M6&gt;=45,"SECONDARY","DEPRIORITIZE"))))</x:f>
        <x:v>INSUFFICIENT DATA</x:v>
      </x:c>
      <x:c r="P6" s="12" t="str">
        <x:v>Annual capacity must be taken from validated Task Family × Role analysis; do not rely on legacy category averages.</x:v>
      </x:c>
    </x:row>
    <x:row r="7">
      <x:c r="A7" s="12" t="str">
        <x:v>Client status updates</x:v>
      </x:c>
      <x:c r="B7" s="26"/>
      <x:c r="C7" s="12" t="n">
        <x:f>IF(B7&lt;5000,0,IF(B7&lt;15000,1,IF(B7&lt;30000,2,IF(B7&lt;60000,3,IF(B7&lt;120000,4,5)))))</x:f>
        <x:v>0</x:v>
      </x:c>
      <x:c r="D7" s="12"/>
      <x:c r="E7" s="12"/>
      <x:c r="F7" s="12"/>
      <x:c r="G7" s="12"/>
      <x:c r="H7" s="12"/>
      <x:c r="I7" s="12"/>
      <x:c r="J7" s="12"/>
      <x:c r="K7" s="12"/>
      <x:c r="L7" s="12"/>
      <x:c r="M7" s="16" t="n">
        <x:f>IF(N7&lt;1,0,(C7*20+D7*10+E7*10+F7*15+G7*10+H7*10+I7*10+J7*5+K7*5+L7*5)/5)</x:f>
        <x:v>0</x:v>
      </x:c>
      <x:c r="N7" s="32" t="n">
        <x:f>COUNTA(D7:L7)/9</x:f>
        <x:v>0</x:v>
      </x:c>
      <x:c r="O7" s="12" t="str">
        <x:f>IF(N7&lt;0.75,"INSUFFICIENT DATA",IF(M7&gt;=75,"PRIORITY",IF(M7&gt;=60,"VALIDATE",IF(M7&gt;=45,"SECONDARY","DEPRIORITIZE"))))</x:f>
        <x:v>INSUFFICIENT DATA</x:v>
      </x:c>
      <x:c r="P7" s="12" t="str">
        <x:v>Annual capacity must be taken from validated Task Family × Role analysis; do not rely on legacy category averages.</x:v>
      </x:c>
    </x:row>
    <x:row r="8">
      <x:c r="A8" s="12" t="str">
        <x:v>Missing evidence detection</x:v>
      </x:c>
      <x:c r="B8" s="26"/>
      <x:c r="C8" s="12" t="n">
        <x:f>IF(B8&lt;5000,0,IF(B8&lt;15000,1,IF(B8&lt;30000,2,IF(B8&lt;60000,3,IF(B8&lt;120000,4,5)))))</x:f>
        <x:v>0</x:v>
      </x:c>
      <x:c r="D8" s="12"/>
      <x:c r="E8" s="12"/>
      <x:c r="F8" s="12"/>
      <x:c r="G8" s="12"/>
      <x:c r="H8" s="12"/>
      <x:c r="I8" s="12"/>
      <x:c r="J8" s="12"/>
      <x:c r="K8" s="12"/>
      <x:c r="L8" s="12"/>
      <x:c r="M8" s="16" t="n">
        <x:f>IF(N8&lt;1,0,(C8*20+D8*10+E8*10+F8*15+G8*10+H8*10+I8*10+J8*5+K8*5+L8*5)/5)</x:f>
        <x:v>0</x:v>
      </x:c>
      <x:c r="N8" s="32" t="n">
        <x:f>COUNTA(D8:L8)/9</x:f>
        <x:v>0</x:v>
      </x:c>
      <x:c r="O8" s="12" t="str">
        <x:f>IF(N8&lt;0.75,"INSUFFICIENT DATA",IF(M8&gt;=75,"PRIORITY",IF(M8&gt;=60,"VALIDATE",IF(M8&gt;=45,"SECONDARY","DEPRIORITIZE"))))</x:f>
        <x:v>INSUFFICIENT DATA</x:v>
      </x:c>
      <x:c r="P8" s="12" t="str">
        <x:v>Annual capacity must be taken from validated Task Family × Role analysis; do not rely on legacy category averages.</x:v>
      </x:c>
    </x:row>
    <x:row r="9">
      <x:c r="A9" s="12" t="str">
        <x:v>Court/deadline extraction</x:v>
      </x:c>
      <x:c r="B9" s="26"/>
      <x:c r="C9" s="12" t="n">
        <x:f>IF(B9&lt;5000,0,IF(B9&lt;15000,1,IF(B9&lt;30000,2,IF(B9&lt;60000,3,IF(B9&lt;120000,4,5)))))</x:f>
        <x:v>0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6" t="n">
        <x:f>IF(N9&lt;1,0,(C9*20+D9*10+E9*10+F9*15+G9*10+H9*10+I9*10+J9*5+K9*5+L9*5)/5)</x:f>
        <x:v>0</x:v>
      </x:c>
      <x:c r="N9" s="32" t="n">
        <x:f>COUNTA(D9:L9)/9</x:f>
        <x:v>0</x:v>
      </x:c>
      <x:c r="O9" s="12" t="str">
        <x:f>IF(N9&lt;0.75,"INSUFFICIENT DATA",IF(M9&gt;=75,"PRIORITY",IF(M9&gt;=60,"VALIDATE",IF(M9&gt;=45,"SECONDARY","DEPRIORITIZE"))))</x:f>
        <x:v>INSUFFICIENT DATA</x:v>
      </x:c>
      <x:c r="P9" s="12" t="str">
        <x:v>Annual capacity must be taken from validated Task Family × Role analysis; do not rely on legacy category averages.</x:v>
      </x:c>
    </x:row>
    <x:row r="10">
      <x:c r="A10" s="12" t="str">
        <x:v>Document classification</x:v>
      </x:c>
      <x:c r="B10" s="26"/>
      <x:c r="C10" s="12" t="n">
        <x:f>IF(B10&lt;5000,0,IF(B10&lt;15000,1,IF(B10&lt;30000,2,IF(B10&lt;60000,3,IF(B10&lt;120000,4,5)))))</x:f>
        <x:v>0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6" t="n">
        <x:f>IF(N10&lt;1,0,(C10*20+D10*10+E10*10+F10*15+G10*10+H10*10+I10*10+J10*5+K10*5+L10*5)/5)</x:f>
        <x:v>0</x:v>
      </x:c>
      <x:c r="N10" s="32" t="n">
        <x:f>COUNTA(D10:L10)/9</x:f>
        <x:v>0</x:v>
      </x:c>
      <x:c r="O10" s="12" t="str">
        <x:f>IF(N10&lt;0.75,"INSUFFICIENT DATA",IF(M10&gt;=75,"PRIORITY",IF(M10&gt;=60,"VALIDATE",IF(M10&gt;=45,"SECONDARY","DEPRIORITIZE"))))</x:f>
        <x:v>INSUFFICIENT DATA</x:v>
      </x:c>
      <x:c r="P10" s="12" t="str">
        <x:v>Annual capacity must be taken from validated Task Family × Role analysis; do not rely on legacy category averages.</x:v>
      </x:c>
    </x:row>
    <x:row r="11">
      <x:c r="A11" s="12" t="str">
        <x:v>Data entry / field updates</x:v>
      </x:c>
      <x:c r="B11" s="26"/>
      <x:c r="C11" s="12" t="n">
        <x:f>IF(B11&lt;5000,0,IF(B11&lt;15000,1,IF(B11&lt;30000,2,IF(B11&lt;60000,3,IF(B11&lt;120000,4,5)))))</x:f>
        <x:v>0</x:v>
      </x:c>
      <x:c r="D11" s="12"/>
      <x:c r="E11" s="12"/>
      <x:c r="F11" s="12"/>
      <x:c r="G11" s="12"/>
      <x:c r="H11" s="12"/>
      <x:c r="I11" s="12"/>
      <x:c r="J11" s="12"/>
      <x:c r="K11" s="12"/>
      <x:c r="L11" s="12"/>
      <x:c r="M11" s="16" t="n">
        <x:f>IF(N11&lt;1,0,(C11*20+D11*10+E11*10+F11*15+G11*10+H11*10+I11*10+J11*5+K11*5+L11*5)/5)</x:f>
        <x:v>0</x:v>
      </x:c>
      <x:c r="N11" s="32" t="n">
        <x:f>COUNTA(D11:L11)/9</x:f>
        <x:v>0</x:v>
      </x:c>
      <x:c r="O11" s="12" t="str">
        <x:f>IF(N11&lt;0.75,"INSUFFICIENT DATA",IF(M11&gt;=75,"PRIORITY",IF(M11&gt;=60,"VALIDATE",IF(M11&gt;=45,"SECONDARY","DEPRIORITIZE"))))</x:f>
        <x:v>INSUFFICIENT DATA</x:v>
      </x:c>
      <x:c r="P11" s="12" t="str">
        <x:v>Annual capacity must be taken from validated Task Family × Role analysis; do not rely on legacy category averages.</x:v>
      </x:c>
    </x:row>
    <x:row r="12">
      <x:c r="A12" s="12" t="str">
        <x:v>Standard correspondence drafting</x:v>
      </x:c>
      <x:c r="B12" s="26"/>
      <x:c r="C12" s="12" t="n">
        <x:f>IF(B12&lt;5000,0,IF(B12&lt;15000,1,IF(B12&lt;30000,2,IF(B12&lt;60000,3,IF(B12&lt;120000,4,5)))))</x:f>
        <x:v>0</x:v>
      </x:c>
      <x:c r="D12" s="12"/>
      <x:c r="E12" s="12"/>
      <x:c r="F12" s="12"/>
      <x:c r="G12" s="12"/>
      <x:c r="H12" s="12"/>
      <x:c r="I12" s="12"/>
      <x:c r="J12" s="12"/>
      <x:c r="K12" s="12"/>
      <x:c r="L12" s="12"/>
      <x:c r="M12" s="16" t="n">
        <x:f>IF(N12&lt;1,0,(C12*20+D12*10+E12*10+F12*15+G12*10+H12*10+I12*10+J12*5+K12*5+L12*5)/5)</x:f>
        <x:v>0</x:v>
      </x:c>
      <x:c r="N12" s="32" t="n">
        <x:f>COUNTA(D12:L12)/9</x:f>
        <x:v>0</x:v>
      </x:c>
      <x:c r="O12" s="12" t="str">
        <x:f>IF(N12&lt;0.75,"INSUFFICIENT DATA",IF(M12&gt;=75,"PRIORITY",IF(M12&gt;=60,"VALIDATE",IF(M12&gt;=45,"SECONDARY","DEPRIORITIZE"))))</x:f>
        <x:v>INSUFFICIENT DATA</x:v>
      </x:c>
      <x:c r="P12" s="12" t="str">
        <x:v>Annual capacity must be taken from validated Task Family × Role analysis; do not rely on legacy category averages.</x:v>
      </x:c>
    </x:row>
    <x:row r="13">
      <x:c r="A13" s="12" t="str">
        <x:v>Supervisor case-health review</x:v>
      </x:c>
      <x:c r="B13" s="26"/>
      <x:c r="C13" s="12" t="n">
        <x:f>IF(B13&lt;5000,0,IF(B13&lt;15000,1,IF(B13&lt;30000,2,IF(B13&lt;60000,3,IF(B13&lt;120000,4,5)))))</x:f>
        <x:v>0</x:v>
      </x:c>
      <x:c r="D13" s="12"/>
      <x:c r="E13" s="12"/>
      <x:c r="F13" s="12"/>
      <x:c r="G13" s="12"/>
      <x:c r="H13" s="12"/>
      <x:c r="I13" s="12"/>
      <x:c r="J13" s="12"/>
      <x:c r="K13" s="12"/>
      <x:c r="L13" s="12"/>
      <x:c r="M13" s="16" t="n">
        <x:f>IF(N13&lt;1,0,(C13*20+D13*10+E13*10+F13*15+G13*10+H13*10+I13*10+J13*5+K13*5+L13*5)/5)</x:f>
        <x:v>0</x:v>
      </x:c>
      <x:c r="N13" s="32" t="n">
        <x:f>COUNTA(D13:L13)/9</x:f>
        <x:v>0</x:v>
      </x:c>
      <x:c r="O13" s="12" t="str">
        <x:f>IF(N13&lt;0.75,"INSUFFICIENT DATA",IF(M13&gt;=75,"PRIORITY",IF(M13&gt;=60,"VALIDATE",IF(M13&gt;=45,"SECONDARY","DEPRIORITIZE"))))</x:f>
        <x:v>INSUFFICIENT DATA</x:v>
      </x:c>
      <x:c r="P13" s="12" t="str">
        <x:v>Annual capacity must be taken from validated Task Family × Role analysis; do not rely on legacy category averages.</x:v>
      </x:c>
    </x:row>
    <x:row r="14">
      <x:c r="A14" s="12" t="str">
        <x:v>Intake / re-keying</x:v>
      </x:c>
      <x:c r="B14" s="26"/>
      <x:c r="C14" s="12" t="n">
        <x:f>IF(B14&lt;5000,0,IF(B14&lt;15000,1,IF(B14&lt;30000,2,IF(B14&lt;60000,3,IF(B14&lt;120000,4,5)))))</x:f>
        <x:v>0</x:v>
      </x:c>
      <x:c r="D14" s="12"/>
      <x:c r="E14" s="12"/>
      <x:c r="F14" s="12"/>
      <x:c r="G14" s="12"/>
      <x:c r="H14" s="12"/>
      <x:c r="I14" s="12"/>
      <x:c r="J14" s="12"/>
      <x:c r="K14" s="12"/>
      <x:c r="L14" s="12"/>
      <x:c r="M14" s="16" t="n">
        <x:f>IF(N14&lt;1,0,(C14*20+D14*10+E14*10+F14*15+G14*10+H14*10+I14*10+J14*5+K14*5+L14*5)/5)</x:f>
        <x:v>0</x:v>
      </x:c>
      <x:c r="N14" s="32" t="n">
        <x:f>COUNTA(D14:L14)/9</x:f>
        <x:v>0</x:v>
      </x:c>
      <x:c r="O14" s="12" t="str">
        <x:f>IF(N14&lt;0.75,"INSUFFICIENT DATA",IF(M14&gt;=75,"PRIORITY",IF(M14&gt;=60,"VALIDATE",IF(M14&gt;=45,"SECONDARY","DEPRIORITIZE"))))</x:f>
        <x:v>INSUFFICIENT DATA</x:v>
      </x:c>
      <x:c r="P14" s="12" t="str">
        <x:v>Annual capacity must be taken from validated Task Family × Role analysis; do not rely on legacy category averages.</x:v>
      </x:c>
    </x:row>
    <x:row r="15">
      <x:c r="A15" s="12" t="str">
        <x:v>Search / matter review</x:v>
      </x:c>
      <x:c r="B15" s="26"/>
      <x:c r="C15" s="12" t="n">
        <x:f>IF(B15&lt;5000,0,IF(B15&lt;15000,1,IF(B15&lt;30000,2,IF(B15&lt;60000,3,IF(B15&lt;120000,4,5)))))</x:f>
        <x:v>0</x:v>
      </x:c>
      <x:c r="D15" s="12"/>
      <x:c r="E15" s="12"/>
      <x:c r="F15" s="12"/>
      <x:c r="G15" s="12"/>
      <x:c r="H15" s="12"/>
      <x:c r="I15" s="12"/>
      <x:c r="J15" s="12"/>
      <x:c r="K15" s="12"/>
      <x:c r="L15" s="12"/>
      <x:c r="M15" s="16" t="n">
        <x:f>IF(N15&lt;1,0,(C15*20+D15*10+E15*10+F15*15+G15*10+H15*10+I15*10+J15*5+K15*5+L15*5)/5)</x:f>
        <x:v>0</x:v>
      </x:c>
      <x:c r="N15" s="32" t="n">
        <x:f>COUNTA(D15:L15)/9</x:f>
        <x:v>0</x:v>
      </x:c>
      <x:c r="O15" s="12" t="str">
        <x:f>IF(N15&lt;0.75,"INSUFFICIENT DATA",IF(M15&gt;=75,"PRIORITY",IF(M15&gt;=60,"VALIDATE",IF(M15&gt;=45,"SECONDARY","DEPRIORITIZE"))))</x:f>
        <x:v>INSUFFICIENT DATA</x:v>
      </x:c>
      <x:c r="P15" s="12" t="str">
        <x:v>Annual capacity must be taken from validated Task Family × Role analysis; do not rely on legacy category averages.</x:v>
      </x:c>
    </x:row>
    <x:row r="16">
      <x:c r="A16" s="12" t="str">
        <x:v>Reporting / management review</x:v>
      </x:c>
      <x:c r="B16" s="26"/>
      <x:c r="C16" s="12" t="n">
        <x:f>IF(B16&lt;5000,0,IF(B16&lt;15000,1,IF(B16&lt;30000,2,IF(B16&lt;60000,3,IF(B16&lt;120000,4,5)))))</x:f>
        <x:v>0</x:v>
      </x:c>
      <x:c r="D16" s="12"/>
      <x:c r="E16" s="12"/>
      <x:c r="F16" s="12"/>
      <x:c r="G16" s="12"/>
      <x:c r="H16" s="12"/>
      <x:c r="I16" s="12"/>
      <x:c r="J16" s="12"/>
      <x:c r="K16" s="12"/>
      <x:c r="L16" s="12"/>
      <x:c r="M16" s="16" t="n">
        <x:f>IF(N16&lt;1,0,(C16*20+D16*10+E16*10+F16*15+G16*10+H16*10+I16*10+J16*5+K16*5+L16*5)/5)</x:f>
        <x:v>0</x:v>
      </x:c>
      <x:c r="N16" s="32" t="n">
        <x:f>COUNTA(D16:L16)/9</x:f>
        <x:v>0</x:v>
      </x:c>
      <x:c r="O16" s="12" t="str">
        <x:f>IF(N16&lt;0.75,"INSUFFICIENT DATA",IF(M16&gt;=75,"PRIORITY",IF(M16&gt;=60,"VALIDATE",IF(M16&gt;=45,"SECONDARY","DEPRIORITIZE"))))</x:f>
        <x:v>INSUFFICIENT DATA</x:v>
      </x:c>
      <x:c r="P16" s="12" t="str">
        <x:v>Annual capacity must be taken from validated Task Family × Role analysis; do not rely on legacy category averages.</x:v>
      </x:c>
    </x:row>
    <x:row r="18">
      <x:c r="A18" s="82" t="str">
        <x:v>GATE</x:v>
      </x:c>
      <x:c r="B18" s="82"/>
      <x:c r="C18" s="82"/>
      <x:c r="D18" s="82"/>
      <x:c r="E18" s="82"/>
      <x:c r="F18" s="8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</x:row>
    <x:row r="19">
      <x:c r="A19" s="82" t="str">
        <x:v>Do not populate annual capacity until Task Family × Role volume is validated independently of the timing observations.</x:v>
      </x:c>
      <x:c r="B19" s="82"/>
      <x:c r="C19" s="82"/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</x:row>
    <x:row r="20">
      <x:c r="A20" s="82" t="str">
        <x:v>A high score from assumptions is not a wedge decision.</x:v>
      </x:c>
      <x:c r="B20" s="82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</x:row>
  </x:sheetData>
  <x:conditionalFormatting sqref="M2:M1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{3E4772D3-3059-D21D-C491-5C7744934CA3}</x14:id>
        </x:ext>
      </x:extLst>
    </x:cfRule>
  </x:conditionalFormatting>
  <x:dataValidations count="1">
    <x:dataValidation operator="between" sqref="D2:L16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4772D3-3059-D21D-C491-5C7744934CA3}">
            <x14:dataBar gradient="1">
              <x14:cfvo type="min"/>
              <x14:cfvo type="max"/>
              <x14:fillColor rgb="FF0F9ED5"/>
            </x14:dataBar>
          </x14:cfRule>
          <xm:sqref>M2:M16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20" hidden="0" customWidth="1"/>
    <x:col min="9" max="9" width="20" hidden="0" customWidth="1"/>
    <x:col min="10" max="10" width="32" hidden="0" customWidth="1"/>
    <x:col min="11" max="11" width="32" hidden="0" customWidth="1"/>
  </x:cols>
  <x:sheetData>
    <x:row r="1">
      <x:c r="A1" s="6" t="str">
        <x:v>Test ID</x:v>
      </x:c>
      <x:c r="B1" s="6" t="str">
        <x:v>Capability</x:v>
      </x:c>
      <x:c r="C1" s="6" t="str">
        <x:v>Category</x:v>
      </x:c>
      <x:c r="D1" s="6" t="str">
        <x:v>Status</x:v>
      </x:c>
      <x:c r="E1" s="6" t="str">
        <x:v>Grade</x:v>
      </x:c>
      <x:c r="F1" s="6" t="str">
        <x:v>Official Method?</x:v>
      </x:c>
      <x:c r="G1" s="6" t="str">
        <x:v>Required Module/Permission</x:v>
      </x:c>
      <x:c r="H1" s="6" t="str">
        <x:v>Latency ms</x:v>
      </x:c>
      <x:c r="I1" s="6" t="str">
        <x:v>Read-back Verified?</x:v>
      </x:c>
      <x:c r="J1" s="6" t="str">
        <x:v>Risk/Notes</x:v>
      </x:c>
      <x:c r="K1" s="6" t="str">
        <x:v>Next Action</x:v>
      </x:c>
    </x:row>
    <x:row r="2">
      <x:c r="A2" s="12" t="str">
        <x:v>P-READ-01</x:v>
      </x:c>
      <x:c r="B2" s="12" t="str">
        <x:v>Find matter by exact ID</x:v>
      </x:c>
      <x:c r="C2" s="12" t="str">
        <x:v>Read</x:v>
      </x:c>
      <x:c r="D2" s="12" t="str">
        <x:v>Not Started</x:v>
      </x:c>
      <x:c r="E2" s="12" t="str">
        <x:v>UNKNOWN</x:v>
      </x:c>
      <x:c r="F2" s="12"/>
      <x:c r="G2" s="12"/>
      <x:c r="H2" s="12"/>
      <x:c r="I2" s="12"/>
      <x:c r="J2" s="12"/>
      <x:c r="K2" s="12"/>
    </x:row>
    <x:row r="3">
      <x:c r="A3" s="12" t="str">
        <x:v>P-READ-02</x:v>
      </x:c>
      <x:c r="B3" s="12" t="str">
        <x:v>Search matter by client/reference</x:v>
      </x:c>
      <x:c r="C3" s="12" t="str">
        <x:v>Read</x:v>
      </x:c>
      <x:c r="D3" s="12" t="str">
        <x:v>Not Started</x:v>
      </x:c>
      <x:c r="E3" s="12" t="str">
        <x:v>UNKNOWN</x:v>
      </x:c>
      <x:c r="F3" s="12"/>
      <x:c r="G3" s="12"/>
      <x:c r="H3" s="12"/>
      <x:c r="I3" s="12"/>
      <x:c r="J3" s="12"/>
      <x:c r="K3" s="12"/>
    </x:row>
    <x:row r="4">
      <x:c r="A4" s="12" t="str">
        <x:v>P-READ-03</x:v>
      </x:c>
      <x:c r="B4" s="12" t="str">
        <x:v>Read selected matter fields</x:v>
      </x:c>
      <x:c r="C4" s="12" t="str">
        <x:v>Read</x:v>
      </x:c>
      <x:c r="D4" s="12" t="str">
        <x:v>Not Started</x:v>
      </x:c>
      <x:c r="E4" s="12" t="str">
        <x:v>UNKNOWN</x:v>
      </x:c>
      <x:c r="F4" s="12"/>
      <x:c r="G4" s="12"/>
      <x:c r="H4" s="12"/>
      <x:c r="I4" s="12"/>
      <x:c r="J4" s="12"/>
      <x:c r="K4" s="12"/>
    </x:row>
    <x:row r="5">
      <x:c r="A5" s="12" t="str">
        <x:v>P-READ-04</x:v>
      </x:c>
      <x:c r="B5" s="12" t="str">
        <x:v>Read matter history</x:v>
      </x:c>
      <x:c r="C5" s="12" t="str">
        <x:v>Read</x:v>
      </x:c>
      <x:c r="D5" s="12" t="str">
        <x:v>Not Started</x:v>
      </x:c>
      <x:c r="E5" s="12" t="str">
        <x:v>UNKNOWN</x:v>
      </x:c>
      <x:c r="F5" s="12"/>
      <x:c r="G5" s="12"/>
      <x:c r="H5" s="12"/>
      <x:c r="I5" s="12"/>
      <x:c r="J5" s="12"/>
      <x:c r="K5" s="12"/>
    </x:row>
    <x:row r="6">
      <x:c r="A6" s="12" t="str">
        <x:v>P-READ-05</x:v>
      </x:c>
      <x:c r="B6" s="12" t="str">
        <x:v>Retrieve document</x:v>
      </x:c>
      <x:c r="C6" s="12" t="str">
        <x:v>Read</x:v>
      </x:c>
      <x:c r="D6" s="12" t="str">
        <x:v>Not Started</x:v>
      </x:c>
      <x:c r="E6" s="12" t="str">
        <x:v>UNKNOWN</x:v>
      </x:c>
      <x:c r="F6" s="12"/>
      <x:c r="G6" s="12"/>
      <x:c r="H6" s="12"/>
      <x:c r="I6" s="12"/>
      <x:c r="J6" s="12"/>
      <x:c r="K6" s="12"/>
    </x:row>
    <x:row r="7">
      <x:c r="A7" s="12" t="str">
        <x:v>P-READ-06</x:v>
      </x:c>
      <x:c r="B7" s="12" t="str">
        <x:v>Read task/diary state</x:v>
      </x:c>
      <x:c r="C7" s="12" t="str">
        <x:v>Read</x:v>
      </x:c>
      <x:c r="D7" s="12" t="str">
        <x:v>Not Started</x:v>
      </x:c>
      <x:c r="E7" s="12" t="str">
        <x:v>UNKNOWN</x:v>
      </x:c>
      <x:c r="F7" s="12"/>
      <x:c r="G7" s="12"/>
      <x:c r="H7" s="12"/>
      <x:c r="I7" s="12"/>
      <x:c r="J7" s="12"/>
      <x:c r="K7" s="12"/>
    </x:row>
    <x:row r="8">
      <x:c r="A8" s="12" t="str">
        <x:v>P-WRITE-01</x:v>
      </x:c>
      <x:c r="B8" s="12" t="str">
        <x:v>Create history note</x:v>
      </x:c>
      <x:c r="C8" s="12" t="str">
        <x:v>Write</x:v>
      </x:c>
      <x:c r="D8" s="12" t="str">
        <x:v>Not Started</x:v>
      </x:c>
      <x:c r="E8" s="12" t="str">
        <x:v>UNKNOWN</x:v>
      </x:c>
      <x:c r="F8" s="12"/>
      <x:c r="G8" s="12"/>
      <x:c r="H8" s="12"/>
      <x:c r="I8" s="12"/>
      <x:c r="J8" s="12"/>
      <x:c r="K8" s="12"/>
    </x:row>
    <x:row r="9">
      <x:c r="A9" s="12" t="str">
        <x:v>P-WRITE-02</x:v>
      </x:c>
      <x:c r="B9" s="12" t="str">
        <x:v>File inbound email</x:v>
      </x:c>
      <x:c r="C9" s="12" t="str">
        <x:v>Write</x:v>
      </x:c>
      <x:c r="D9" s="12" t="str">
        <x:v>Not Started</x:v>
      </x:c>
      <x:c r="E9" s="12" t="str">
        <x:v>UNKNOWN</x:v>
      </x:c>
      <x:c r="F9" s="12"/>
      <x:c r="G9" s="12"/>
      <x:c r="H9" s="12"/>
      <x:c r="I9" s="12"/>
      <x:c r="J9" s="12"/>
      <x:c r="K9" s="12"/>
    </x:row>
    <x:row r="10">
      <x:c r="A10" s="12" t="str">
        <x:v>P-WRITE-03</x:v>
      </x:c>
      <x:c r="B10" s="12" t="str">
        <x:v>Upload document</x:v>
      </x:c>
      <x:c r="C10" s="12" t="str">
        <x:v>Write</x:v>
      </x:c>
      <x:c r="D10" s="12" t="str">
        <x:v>Not Started</x:v>
      </x:c>
      <x:c r="E10" s="12" t="str">
        <x:v>UNKNOWN</x:v>
      </x:c>
      <x:c r="F10" s="12"/>
      <x:c r="G10" s="12"/>
      <x:c r="H10" s="12"/>
      <x:c r="I10" s="12"/>
      <x:c r="J10" s="12"/>
      <x:c r="K10" s="12"/>
    </x:row>
    <x:row r="11">
      <x:c r="A11" s="12" t="str">
        <x:v>P-WRITE-04</x:v>
      </x:c>
      <x:c r="B11" s="12" t="str">
        <x:v>Create task/action</x:v>
      </x:c>
      <x:c r="C11" s="12" t="str">
        <x:v>Write</x:v>
      </x:c>
      <x:c r="D11" s="12" t="str">
        <x:v>Not Started</x:v>
      </x:c>
      <x:c r="E11" s="12" t="str">
        <x:v>UNKNOWN</x:v>
      </x:c>
      <x:c r="F11" s="12"/>
      <x:c r="G11" s="12"/>
      <x:c r="H11" s="12"/>
      <x:c r="I11" s="12"/>
      <x:c r="J11" s="12"/>
      <x:c r="K11" s="12"/>
    </x:row>
    <x:row r="12">
      <x:c r="A12" s="12" t="str">
        <x:v>P-WRITE-05</x:v>
      </x:c>
      <x:c r="B12" s="12" t="str">
        <x:v>Update safe field</x:v>
      </x:c>
      <x:c r="C12" s="12" t="str">
        <x:v>Write</x:v>
      </x:c>
      <x:c r="D12" s="12" t="str">
        <x:v>Not Started</x:v>
      </x:c>
      <x:c r="E12" s="12" t="str">
        <x:v>UNKNOWN</x:v>
      </x:c>
      <x:c r="F12" s="12"/>
      <x:c r="G12" s="12"/>
      <x:c r="H12" s="12"/>
      <x:c r="I12" s="12"/>
      <x:c r="J12" s="12"/>
      <x:c r="K12" s="12"/>
    </x:row>
    <x:row r="13">
      <x:c r="A13" s="12" t="str">
        <x:v>P-REL-01</x:v>
      </x:c>
      <x:c r="B13" s="12" t="str">
        <x:v>Duplicate request/idempotency</x:v>
      </x:c>
      <x:c r="C13" s="12" t="str">
        <x:v>Reliability</x:v>
      </x:c>
      <x:c r="D13" s="12" t="str">
        <x:v>Not Started</x:v>
      </x:c>
      <x:c r="E13" s="12" t="str">
        <x:v>UNKNOWN</x:v>
      </x:c>
      <x:c r="F13" s="12"/>
      <x:c r="G13" s="12"/>
      <x:c r="H13" s="12"/>
      <x:c r="I13" s="12"/>
      <x:c r="J13" s="12"/>
      <x:c r="K13" s="12"/>
    </x:row>
    <x:row r="14">
      <x:c r="A14" s="12" t="str">
        <x:v>P-REL-02</x:v>
      </x:c>
      <x:c r="B14" s="12" t="str">
        <x:v>Timeout after write reconciliation</x:v>
      </x:c>
      <x:c r="C14" s="12" t="str">
        <x:v>Reliability</x:v>
      </x:c>
      <x:c r="D14" s="12" t="str">
        <x:v>Not Started</x:v>
      </x:c>
      <x:c r="E14" s="12" t="str">
        <x:v>UNKNOWN</x:v>
      </x:c>
      <x:c r="F14" s="12"/>
      <x:c r="G14" s="12"/>
      <x:c r="H14" s="12"/>
      <x:c r="I14" s="12"/>
      <x:c r="J14" s="12"/>
      <x:c r="K14" s="12"/>
    </x:row>
    <x:row r="15">
      <x:c r="A15" s="12" t="str">
        <x:v>P-REL-03</x:v>
      </x:c>
      <x:c r="B15" s="12" t="str">
        <x:v>Proclaim unavailable retry</x:v>
      </x:c>
      <x:c r="C15" s="12" t="str">
        <x:v>Reliability</x:v>
      </x:c>
      <x:c r="D15" s="12" t="str">
        <x:v>Not Started</x:v>
      </x:c>
      <x:c r="E15" s="12" t="str">
        <x:v>UNKNOWN</x:v>
      </x:c>
      <x:c r="F15" s="12"/>
      <x:c r="G15" s="12"/>
      <x:c r="H15" s="12"/>
      <x:c r="I15" s="12"/>
      <x:c r="J15" s="12"/>
      <x:c r="K15" s="12"/>
    </x:row>
    <x:row r="16">
      <x:c r="A16" s="12" t="str">
        <x:v>P-REL-04</x:v>
      </x:c>
      <x:c r="B16" s="12" t="str">
        <x:v>Invalid matter failure</x:v>
      </x:c>
      <x:c r="C16" s="12" t="str">
        <x:v>Reliability</x:v>
      </x:c>
      <x:c r="D16" s="12" t="str">
        <x:v>Not Started</x:v>
      </x:c>
      <x:c r="E16" s="12" t="str">
        <x:v>UNKNOWN</x:v>
      </x:c>
      <x:c r="F16" s="12"/>
      <x:c r="G16" s="12"/>
      <x:c r="H16" s="12"/>
      <x:c r="I16" s="12"/>
      <x:c r="J16" s="12"/>
      <x:c r="K16" s="12"/>
    </x:row>
    <x:row r="17">
      <x:c r="A17" s="12" t="str">
        <x:v>P-REL-05</x:v>
      </x:c>
      <x:c r="B17" s="12" t="str">
        <x:v>Permission denied behavior</x:v>
      </x:c>
      <x:c r="C17" s="12" t="str">
        <x:v>Reliability</x:v>
      </x:c>
      <x:c r="D17" s="12" t="str">
        <x:v>Not Started</x:v>
      </x:c>
      <x:c r="E17" s="12" t="str">
        <x:v>UNKNOWN</x:v>
      </x:c>
      <x:c r="F17" s="12"/>
      <x:c r="G17" s="12"/>
      <x:c r="H17" s="12"/>
      <x:c r="I17" s="12"/>
      <x:c r="J17" s="12"/>
      <x:c r="K17" s="12"/>
    </x:row>
    <x:row r="18">
      <x:c r="A18" s="12" t="str">
        <x:v>P-REL-06</x:v>
      </x:c>
      <x:c r="B18" s="12" t="str">
        <x:v>Concurrent update/stale state</x:v>
      </x:c>
      <x:c r="C18" s="12" t="str">
        <x:v>Reliability</x:v>
      </x:c>
      <x:c r="D18" s="12" t="str">
        <x:v>Not Started</x:v>
      </x:c>
      <x:c r="E18" s="12" t="str">
        <x:v>UNKNOWN</x:v>
      </x:c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</x:sheetData>
  <x:dataValidations count="4">
    <x:dataValidation type="list" sqref="D2:D30">
      <x:formula1>Lists!$G$2:$G$7</x:formula1>
    </x:dataValidation>
    <x:dataValidation type="list" sqref="E2:E30">
      <x:formula1>Lists!$F$2:$F$5</x:formula1>
    </x:dataValidation>
    <x:dataValidation type="list" sqref="F2:F30">
      <x:formula1>"Yes,No,Unknown"</x:formula1>
    </x:dataValidation>
    <x:dataValidation type="list" sqref="I2:I30">
      <x:formula1>"Yes,No,N/A,Unknown"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Service</x:v>
      </x:c>
      <x:c r="B1" s="6" t="str">
        <x:v>Primary User</x:v>
      </x:c>
      <x:c r="C1" s="6" t="str">
        <x:v>Primary Outcome</x:v>
      </x:c>
      <x:c r="D1" s="6" t="str">
        <x:v>TO Metrics Needed</x:v>
      </x:c>
      <x:c r="E1" s="6" t="str">
        <x:v>Data Dependencies</x:v>
      </x:c>
      <x:c r="F1" s="6" t="str">
        <x:v>Risk</x:v>
      </x:c>
      <x:c r="G1" s="6" t="str">
        <x:v>Prerequisites</x:v>
      </x:c>
      <x:c r="H1" s="6" t="str">
        <x:v>ROI Driver</x:v>
      </x:c>
      <x:c r="I1" s="6" t="str">
        <x:v>Build/Partner</x:v>
      </x:c>
      <x:c r="J1" s="6" t="str">
        <x:v>Current Priority</x:v>
      </x:c>
      <x:c r="K1" s="6" t="str">
        <x:v>TO Can Reorder?</x:v>
      </x:c>
    </x:row>
    <x:row r="2">
      <x:c r="A2" s="12" t="str">
        <x:v>Matter Command</x:v>
      </x:c>
      <x:c r="B2" s="12" t="str">
        <x:v>Team leader / Fee earner</x:v>
      </x:c>
      <x:c r="C2" s="12" t="str">
        <x:v>Show what needs attention today</x:v>
      </x:c>
      <x:c r="D2" s="12" t="str">
        <x:v>Review time; stalled files; overdue work</x:v>
      </x:c>
      <x:c r="E2" s="12" t="str">
        <x:v>Events, tasks, deadlines, evidence state</x:v>
      </x:c>
      <x:c r="F2" s="12" t="str">
        <x:v>Medium</x:v>
      </x:c>
      <x:c r="G2" s="12" t="str">
        <x:v>Canonical events + exception data</x:v>
      </x:c>
      <x:c r="H2" s="12" t="str">
        <x:v>Supervision time; case progression</x:v>
      </x:c>
      <x:c r="I2" s="12" t="str">
        <x:v>Build</x:v>
      </x:c>
      <x:c r="J2" s="12" t="str">
        <x:v>1</x:v>
      </x:c>
      <x:c r="K2" s="12" t="str">
        <x:v>Yes</x:v>
      </x:c>
    </x:row>
    <x:row r="3">
      <x:c r="A3" s="12" t="str">
        <x:v>Evidence Completeness</x:v>
      </x:c>
      <x:c r="B3" s="12" t="str">
        <x:v>Fee earner / Admin</x:v>
      </x:c>
      <x:c r="C3" s="12" t="str">
        <x:v>Know what evidence is missing</x:v>
      </x:c>
      <x:c r="D3" s="12" t="str">
        <x:v>File-review time; missing evidence; rework</x:v>
      </x:c>
      <x:c r="E3" s="12" t="str">
        <x:v>Document taxonomy + practice pack</x:v>
      </x:c>
      <x:c r="F3" s="12" t="str">
        <x:v>Medium-High</x:v>
      </x:c>
      <x:c r="G3" s="12" t="str">
        <x:v>Classification + request state</x:v>
      </x:c>
      <x:c r="H3" s="12" t="str">
        <x:v>Review time; delay reduction</x:v>
      </x:c>
      <x:c r="I3" s="12" t="str">
        <x:v>Build</x:v>
      </x:c>
      <x:c r="J3" s="12" t="str">
        <x:v>2</x:v>
      </x:c>
      <x:c r="K3" s="12" t="str">
        <x:v>Yes</x:v>
      </x:c>
    </x:row>
    <x:row r="4">
      <x:c r="A4" s="12" t="str">
        <x:v>Firm Skills / Workflow Agents</x:v>
      </x:c>
      <x:c r="B4" s="12" t="str">
        <x:v>Ops / Apps</x:v>
      </x:c>
      <x:c r="C4" s="12" t="str">
        <x:v>Encode firm process without developer</x:v>
      </x:c>
      <x:c r="D4" s="12" t="str">
        <x:v>Change frequency; consultancy/support burden</x:v>
      </x:c>
      <x:c r="E4" s="12" t="str">
        <x:v>Workflow engine + permissions</x:v>
      </x:c>
      <x:c r="F4" s="12" t="str">
        <x:v>High</x:v>
      </x:c>
      <x:c r="G4" s="12" t="str">
        <x:v>Validated DSL + sandbox + audit</x:v>
      </x:c>
      <x:c r="H4" s="12" t="str">
        <x:v>Change speed; automation reuse</x:v>
      </x:c>
      <x:c r="I4" s="12" t="str">
        <x:v>Build</x:v>
      </x:c>
      <x:c r="J4" s="12" t="str">
        <x:v>3</x:v>
      </x:c>
      <x:c r="K4" s="12" t="str">
        <x:v>Yes</x:v>
      </x:c>
    </x:row>
    <x:row r="5">
      <x:c r="A5" s="12" t="str">
        <x:v>Records Orchestration</x:v>
      </x:c>
      <x:c r="B5" s="12" t="str">
        <x:v>Records/Admin team</x:v>
      </x:c>
      <x:c r="C5" s="12" t="str">
        <x:v>Request/chase/reconcile records</x:v>
      </x:c>
      <x:c r="D5" s="12" t="str">
        <x:v>Touches/request; days outstanding; incomplete returns</x:v>
      </x:c>
      <x:c r="E5" s="12" t="str">
        <x:v>Records state + providers + document ingest</x:v>
      </x:c>
      <x:c r="F5" s="12" t="str">
        <x:v>High</x:v>
      </x:c>
      <x:c r="G5" s="12" t="str">
        <x:v>Secure health-data pipeline</x:v>
      </x:c>
      <x:c r="H5" s="12" t="str">
        <x:v>Admin time; cycle time</x:v>
      </x:c>
      <x:c r="I5" s="12" t="str">
        <x:v>Build + Partner</x:v>
      </x:c>
      <x:c r="J5" s="12" t="str">
        <x:v>4</x:v>
      </x:c>
      <x:c r="K5" s="12" t="str">
        <x:v>Yes</x:v>
      </x:c>
    </x:row>
    <x:row r="6">
      <x:c r="A6" s="12" t="str">
        <x:v>Matter Intelligence</x:v>
      </x:c>
      <x:c r="B6" s="12" t="str">
        <x:v>Fee earner / Supervisor</x:v>
      </x:c>
      <x:c r="C6" s="12" t="str">
        <x:v>Understand matter quickly</x:v>
      </x:c>
      <x:c r="D6" s="12" t="str">
        <x:v>Review/handover/search time</x:v>
      </x:c>
      <x:c r="E6" s="12" t="str">
        <x:v>Search/RAG + matter data</x:v>
      </x:c>
      <x:c r="F6" s="12" t="str">
        <x:v>High</x:v>
      </x:c>
      <x:c r="G6" s="12" t="str">
        <x:v>Permission-aware retrieval + citations</x:v>
      </x:c>
      <x:c r="H6" s="12" t="str">
        <x:v>Review time</x:v>
      </x:c>
      <x:c r="I6" s="12" t="str">
        <x:v>Build</x:v>
      </x:c>
      <x:c r="J6" s="12" t="str">
        <x:v>5</x:v>
      </x:c>
      <x:c r="K6" s="12" t="str">
        <x:v>Yes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46" t="str">
        <x:v>Pilot Economics Model</x:v>
      </x:c>
      <x:c r="B1" s="46"/>
      <x:c r="C1" s="46"/>
      <x:c r="D1" s="46"/>
      <x:c r="E1" s="12"/>
    </x:row>
    <x:row r="2">
      <x:c r="A2" s="12"/>
      <x:c r="B2" s="12"/>
      <x:c r="C2" s="12"/>
      <x:c r="D2" s="12"/>
      <x:c r="E2" s="12"/>
    </x:row>
    <x:row r="3">
      <x:c r="A3" s="6" t="str">
        <x:v>Input</x:v>
      </x:c>
      <x:c r="B3" s="6" t="str">
        <x:v>Value</x:v>
      </x:c>
      <x:c r="C3" s="12"/>
      <x:c r="D3" s="6" t="str">
        <x:v>Output</x:v>
      </x:c>
      <x:c r="E3" s="6" t="str">
        <x:v>Formula/Value</x:v>
      </x:c>
    </x:row>
    <x:row r="4">
      <x:c r="A4" s="12" t="str">
        <x:v>Users affected</x:v>
      </x:c>
      <x:c r="B4" s="12" t="n">
        <x:v>20</x:v>
      </x:c>
      <x:c r="C4" s="12"/>
      <x:c r="D4" s="12" t="str">
        <x:v>Baseline annual events</x:v>
      </x:c>
      <x:c r="E4" s="47" t="n">
        <x:f>B4*B5*B9</x:f>
        <x:v>44000</x:v>
      </x:c>
    </x:row>
    <x:row r="5">
      <x:c r="A5" s="12" t="str">
        <x:v>Events/user/day</x:v>
      </x:c>
      <x:c r="B5" s="12" t="n">
        <x:v>10</x:v>
      </x:c>
      <x:c r="C5" s="12"/>
      <x:c r="D5" s="12" t="str">
        <x:v>Baseline annual hours</x:v>
      </x:c>
      <x:c r="E5" s="47" t="n">
        <x:f>E4*B6/60</x:f>
        <x:v>2933.3333333333335</x:v>
      </x:c>
    </x:row>
    <x:row r="6">
      <x:c r="A6" s="12" t="str">
        <x:v>Minutes/event before</x:v>
      </x:c>
      <x:c r="B6" s="12" t="n">
        <x:v>4</x:v>
      </x:c>
      <x:c r="C6" s="12"/>
      <x:c r="D6" s="12" t="str">
        <x:v>Automated annual events</x:v>
      </x:c>
      <x:c r="E6" s="47" t="n">
        <x:f>E4*B7</x:f>
        <x:v>26400</x:v>
      </x:c>
    </x:row>
    <x:row r="7">
      <x:c r="A7" s="12" t="str">
        <x:v>Expected automation %</x:v>
      </x:c>
      <x:c r="B7" s="32" t="n">
        <x:v>0.6</x:v>
      </x:c>
      <x:c r="C7" s="12"/>
      <x:c r="D7" s="12" t="str">
        <x:v>Future annual human hours</x:v>
      </x:c>
      <x:c r="E7" s="47" t="n">
        <x:f>((E4-E6)*B6 + E6*B8)/60</x:f>
        <x:v>1503.3333333333333</x:v>
      </x:c>
    </x:row>
    <x:row r="8">
      <x:c r="A8" s="12" t="str">
        <x:v>Review minutes automated event</x:v>
      </x:c>
      <x:c r="B8" s="12" t="n">
        <x:v>0.75</x:v>
      </x:c>
      <x:c r="C8" s="12"/>
      <x:c r="D8" s="12" t="str">
        <x:v>Annual hours saved</x:v>
      </x:c>
      <x:c r="E8" s="47" t="n">
        <x:f>E5-E7</x:f>
        <x:v>1430.0000000000002</x:v>
      </x:c>
    </x:row>
    <x:row r="9">
      <x:c r="A9" s="12" t="str">
        <x:v>Working days/year</x:v>
      </x:c>
      <x:c r="B9" s="20" t="n">
        <x:v>220</x:v>
      </x:c>
      <x:c r="C9" s="12"/>
      <x:c r="D9" s="12" t="str">
        <x:v>Gross capacity value</x:v>
      </x:c>
      <x:c r="E9" s="26" t="n">
        <x:f>E8*B10</x:f>
        <x:v>35750.00000000001</x:v>
      </x:c>
    </x:row>
    <x:row r="10">
      <x:c r="A10" s="12" t="str">
        <x:v>Loaded £/hour</x:v>
      </x:c>
      <x:c r="B10" s="26" t="n">
        <x:v>25</x:v>
      </x:c>
      <x:c r="C10" s="12"/>
      <x:c r="D10" s="12" t="str">
        <x:v>Realised value</x:v>
      </x:c>
      <x:c r="E10" s="26" t="n">
        <x:f>E9*B13</x:f>
        <x:v>26812.500000000007</x:v>
      </x:c>
    </x:row>
    <x:row r="11">
      <x:c r="A11" s="12" t="str">
        <x:v>Implementation/pilot fee</x:v>
      </x:c>
      <x:c r="B11" s="26" t="n">
        <x:v>10000</x:v>
      </x:c>
      <x:c r="C11" s="12"/>
      <x:c r="D11" s="12" t="str">
        <x:v>Annual ROI multiple</x:v>
      </x:c>
      <x:c r="E11" s="48" t="n">
        <x:f>IF(B12=0,0,E10/B12)</x:f>
        <x:v>0.6703125000000002</x:v>
      </x:c>
    </x:row>
    <x:row r="12">
      <x:c r="A12" s="12" t="str">
        <x:v>Annual platform price</x:v>
      </x:c>
      <x:c r="B12" s="12" t="n">
        <x:v>40000</x:v>
      </x:c>
      <x:c r="C12" s="12"/>
      <x:c r="D12" s="12" t="str">
        <x:v>3x ROI max price</x:v>
      </x:c>
      <x:c r="E12" s="26" t="n">
        <x:f>E10/B14</x:f>
        <x:v>8937.500000000002</x:v>
      </x:c>
    </x:row>
    <x:row r="13">
      <x:c r="A13" s="12" t="str">
        <x:v>Realisation factor</x:v>
      </x:c>
      <x:c r="B13" s="32" t="n">
        <x:v>0.75</x:v>
      </x:c>
      <x:c r="C13" s="12"/>
      <x:c r="D13" s="12"/>
      <x:c r="E13" s="12"/>
    </x:row>
    <x:row r="14">
      <x:c r="A14" s="12" t="str">
        <x:v>Target ROI multiple</x:v>
      </x:c>
      <x:c r="B14" s="12" t="n">
        <x:v>3</x:v>
      </x:c>
      <x:c r="C14" s="12"/>
      <x:c r="D14" s="12"/>
      <x:c r="E14" s="12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6" hidden="0" customWidth="1"/>
    <x:col min="5" max="5" width="32" hidden="0" customWidth="1"/>
    <x:col min="6" max="6" width="32" hidden="0" customWidth="1"/>
    <x:col min="7" max="7" width="23" hidden="0" customWidth="1"/>
    <x:col min="8" max="8" width="28" hidden="0" customWidth="1"/>
  </x:cols>
  <x:sheetData>
    <x:row r="1">
      <x:c r="A1" s="46" t="str">
        <x:v>Pre-TO Decision Dashboard</x:v>
      </x:c>
      <x:c r="B1" s="46"/>
      <x:c r="C1" s="46"/>
      <x:c r="D1" s="46"/>
      <x:c r="E1" s="46"/>
      <x:c r="F1" s="46"/>
      <x:c r="G1" s="46"/>
      <x:c r="H1" s="46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6" t="str">
        <x:v>Metric</x:v>
      </x:c>
      <x:c r="B3" s="6" t="str">
        <x:v>Value</x:v>
      </x:c>
      <x:c r="C3" s="12"/>
      <x:c r="D3" s="6" t="str">
        <x:v>Decision Gate</x:v>
      </x:c>
      <x:c r="E3" s="6" t="str">
        <x:v>Pass Condition</x:v>
      </x:c>
      <x:c r="F3" s="6" t="str">
        <x:v>Current Evidence</x:v>
      </x:c>
      <x:c r="G3" s="6" t="str">
        <x:v>Status</x:v>
      </x:c>
      <x:c r="H3" s="6" t="str">
        <x:v>Action</x:v>
      </x:c>
    </x:row>
    <x:row r="4">
      <x:c r="A4" s="12" t="str">
        <x:v>TO observations entered</x:v>
      </x:c>
      <x:c r="B4" s="12" t="n">
        <x:f>COUNTIF('TO Observations'!F2:F201,"&lt;&gt;")</x:f>
        <x:v>0</x:v>
      </x:c>
      <x:c r="C4" s="12"/>
      <x:c r="D4" s="12" t="str">
        <x:v>High-frequency expensive workflow</x:v>
      </x:c>
      <x:c r="E4" s="12" t="str">
        <x:v>Repeated + meaningful minutes</x:v>
      </x:c>
      <x:c r="F4" s="12" t="str"/>
      <x:c r="G4" s="12" t="str">
        <x:v>UNKNOWN</x:v>
      </x:c>
      <x:c r="H4" s="12" t="str">
        <x:v>Enter TO data</x:v>
      </x:c>
    </x:row>
    <x:row r="5">
      <x:c r="A5" s="12" t="str">
        <x:v>Total observed active min</x:v>
      </x:c>
      <x:c r="B5" s="12" t="n">
        <x:f>SUM('TO Observations'!H2:H201)</x:f>
        <x:v>0</x:v>
      </x:c>
      <x:c r="C5" s="12"/>
      <x:c r="D5" s="12" t="str">
        <x:v>Inbound still leading</x:v>
      </x:c>
      <x:c r="E5" s="12" t="str">
        <x:v>Highest combined score</x:v>
      </x:c>
      <x:c r="F5" s="12" t="str"/>
      <x:c r="G5" s="12" t="str">
        <x:v>UNKNOWN</x:v>
      </x:c>
      <x:c r="H5" s="12" t="str">
        <x:v>Compare all candidate workflows</x:v>
      </x:c>
    </x:row>
    <x:row r="6">
      <x:c r="A6" s="12" t="str">
        <x:v>Highest annual capacity task</x:v>
      </x:c>
      <x:c r="B6" s="12" t="str">
        <x:f>IF(B4=0,"NO DATA",INDEX('Task Summary'!A2:A18,MATCH(MAX('Task Summary'!M2:M18),'Task Summary'!M2:M18,0)))</x:f>
        <x:v>NO DATA</x:v>
      </x:c>
      <x:c r="C6" s="12"/>
      <x:c r="D6" s="12" t="str">
        <x:v>Automatable</x:v>
      </x:c>
      <x:c r="E6" s="12" t="str">
        <x:v>Low/moderate judgement + exceptions bounded</x:v>
      </x:c>
      <x:c r="F6" s="12" t="str"/>
      <x:c r="G6" s="12" t="str">
        <x:v>UNKNOWN</x:v>
      </x:c>
      <x:c r="H6" s="12" t="str">
        <x:v>Review TO exceptions</x:v>
      </x:c>
    </x:row>
    <x:row r="7">
      <x:c r="A7" s="12" t="str">
        <x:v>Highest weighted opportunity</x:v>
      </x:c>
      <x:c r="B7" s="12" t="str">
        <x:f>IF(B4=0,"NO DATA",INDEX('Opportunity Scorecard'!A2:A16,MATCH(MAX('Opportunity Scorecard'!M2:M16),'Opportunity Scorecard'!M2:M16,0)))</x:f>
        <x:v>NO DATA</x:v>
      </x:c>
      <x:c r="C7" s="12"/>
      <x:c r="D7" s="12" t="str">
        <x:v>Proclaim augmentable</x:v>
      </x:c>
      <x:c r="E7" s="12" t="str">
        <x:v>Critical connector tests GREEN/AMBER</x:v>
      </x:c>
      <x:c r="F7" s="12" t="str"/>
      <x:c r="G7" s="12" t="str">
        <x:v>UNKNOWN</x:v>
      </x:c>
      <x:c r="H7" s="12" t="str">
        <x:v>Run validation</x:v>
      </x:c>
    </x:row>
    <x:row r="8">
      <x:c r="A8" s="12" t="str">
        <x:v>Proclaim critical tests passed</x:v>
      </x:c>
      <x:c r="B8" s="12" t="n">
        <x:f>COUNTIF('Proclaim Validation'!E2:E18,"GREEN")</x:f>
        <x:v>0</x:v>
      </x:c>
      <x:c r="C8" s="12"/>
      <x:c r="D8" s="12" t="str">
        <x:v>Pilot bounded</x:v>
      </x:c>
      <x:c r="E8" s="12" t="str">
        <x:v>One team/workflow/mailbox</x:v>
      </x:c>
      <x:c r="F8" s="12" t="str"/>
      <x:c r="G8" s="12" t="str">
        <x:v>UNKNOWN</x:v>
      </x:c>
      <x:c r="H8" s="12" t="str">
        <x:v>Define scope</x:v>
      </x:c>
    </x:row>
    <x:row r="9">
      <x:c r="A9" s="12" t="str">
        <x:v>Proclaim critical red tests</x:v>
      </x:c>
      <x:c r="B9" s="12" t="n">
        <x:f>COUNTIF('Proclaim Validation'!E2:E18,"RED")</x:f>
        <x:v>0</x:v>
      </x:c>
      <x:c r="C9" s="12"/>
      <x:c r="D9" s="12" t="str">
        <x:v>Value large enough</x:v>
      </x:c>
      <x:c r="E9" s="12" t="str">
        <x:v>£30k+ annual value plausible</x:v>
      </x:c>
      <x:c r="F9" s="12" t="str"/>
      <x:c r="G9" s="12" t="str">
        <x:v>UNKNOWN</x:v>
      </x:c>
      <x:c r="H9" s="12" t="str">
        <x:v>Use economics model</x:v>
      </x:c>
    </x:row>
    <x:row r="10">
      <x:c r="A10" s="12" t="str">
        <x:v>Pilot realised value</x:v>
      </x:c>
      <x:c r="B10" s="26" t="n">
        <x:f>'Pilot Economics'!E10</x:f>
        <x:v>26812.500000000007</x:v>
      </x:c>
      <x:c r="C10" s="12"/>
      <x:c r="D10" s="12" t="str">
        <x:v>Expansion context</x:v>
      </x:c>
      <x:c r="E10" s="12" t="str">
        <x:v>Creates reusable matter data</x:v>
      </x:c>
      <x:c r="F10" s="12" t="str"/>
      <x:c r="G10" s="12" t="str">
        <x:v>UNKNOWN</x:v>
      </x:c>
      <x:c r="H10" s="12" t="str">
        <x:v>Review strategic fit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57" t="str">
        <x:v>Execution Metric</x:v>
      </x:c>
      <x:c r="B12" s="57" t="str">
        <x:v>Value</x:v>
      </x:c>
      <x:c r="C12" s="12"/>
      <x:c r="D12" s="12"/>
      <x:c r="E12" s="12"/>
      <x:c r="F12" s="12"/>
      <x:c r="G12" s="12"/>
      <x:c r="H12" s="12"/>
    </x:row>
    <x:row r="13">
      <x:c r="A13" t="str">
        <x:v>Technical spike tests passed</x:v>
      </x:c>
      <x:c r="B13" t="n">
        <x:f>COUNTIF('Technical Spikes'!E2:E30,"Passed")</x:f>
        <x:v>0</x:v>
      </x:c>
    </x:row>
    <x:row r="14">
      <x:c r="A14" t="str">
        <x:v>Technical spike red/failed</x:v>
      </x:c>
      <x:c r="B14" t="n">
        <x:f>COUNTIF('Technical Spikes'!F2:F30,"RED")+COUNTIF('Technical Spikes'!E2:E30,"Failed")</x:f>
        <x:v>0</x:v>
      </x:c>
    </x:row>
    <x:row r="15">
      <x:c r="A15" t="str">
        <x:v>External interviews logged</x:v>
      </x:c>
      <x:c r="B15" t="n">
        <x:f>COUNTIF('External Interviews'!E2:E101,"&lt;&gt;")</x:f>
        <x:v>0</x:v>
      </x:c>
    </x:row>
    <x:row r="16">
      <x:c r="A16" t="str">
        <x:v>Firms with repeated pain</x:v>
      </x:c>
      <x:c r="B16" t="n">
        <x:f>COUNTIF('External Interviews'!H2:H101,"&lt;&gt;")</x:f>
        <x:v>0</x:v>
      </x:c>
    </x:row>
    <x:row r="17">
      <x:c r="A17" t="str">
        <x:v>Firms open to access</x:v>
      </x:c>
      <x:c r="B17" t="n">
        <x:f>COUNTIF('External Interviews'!N2:N101,"Yes")</x:f>
        <x:v>0</x:v>
      </x:c>
    </x:row>
    <x:row r="18">
      <x:c r="A18" t="str">
        <x:v>Pilot interest signals</x:v>
      </x:c>
      <x:c r="B18" t="n">
        <x:f>COUNTIF('External Interviews'!Q2:Q101,"Yes")</x:f>
        <x:v>0</x:v>
      </x:c>
    </x:row>
  </x:sheetData>
  <x:mergeCells>
    <x:mergeCell ref="A1:H1"/>
  </x:mergeCells>
  <x:dataValidations count="1">
    <x:dataValidation type="list" sqref="G4:G10">
      <x:formula1>"PASS,FAIL,UNKNOWN,PARTIAL"</x:formula1>
    </x:dataValidation>
  </x:dataValidations>
  <x:pageMargins left="0.7" right="0.7" top="0.75" bottom="0.75" header="0.3" footer="0.3"/>
  <x:drawing xmlns:r="http://schemas.openxmlformats.org/officeDocument/2006/relationships" r:id="Rd621db799ed04aaa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34" hidden="0" customWidth="1"/>
    <x:col min="4" max="4" width="18" hidden="0" customWidth="1"/>
    <x:col min="5" max="5" width="16" hidden="0" customWidth="1"/>
    <x:col min="6" max="6" width="12" hidden="0" customWidth="1"/>
    <x:col min="7" max="7" width="32" hidden="0" customWidth="1"/>
    <x:col min="8" max="8" width="28" hidden="0" customWidth="1"/>
    <x:col min="9" max="9" width="30" hidden="0" customWidth="1"/>
    <x:col min="10" max="10" width="13" hidden="0" customWidth="1"/>
    <x:col min="11" max="11" width="13" hidden="0" customWidth="1"/>
    <x:col min="12" max="12" width="32" hidden="0" customWidth="1"/>
  </x:cols>
  <x:sheetData>
    <x:row r="1">
      <x:c r="A1" s="57" t="str">
        <x:v>Spike ID</x:v>
      </x:c>
      <x:c r="B1" s="57" t="str">
        <x:v>Track</x:v>
      </x:c>
      <x:c r="C1" s="57" t="str">
        <x:v>Test</x:v>
      </x:c>
      <x:c r="D1" s="57" t="str">
        <x:v>Owner</x:v>
      </x:c>
      <x:c r="E1" s="57" t="str">
        <x:v>Status</x:v>
      </x:c>
      <x:c r="F1" s="57" t="str">
        <x:v>Grade</x:v>
      </x:c>
      <x:c r="G1" s="57" t="str">
        <x:v>Evidence</x:v>
      </x:c>
      <x:c r="H1" s="57" t="str">
        <x:v>Blocker</x:v>
      </x:c>
      <x:c r="I1" s="57" t="str">
        <x:v>Next Action</x:v>
      </x:c>
      <x:c r="J1" s="57" t="str">
        <x:v>Started</x:v>
      </x:c>
      <x:c r="K1" s="57" t="str">
        <x:v>Completed</x:v>
      </x:c>
      <x:c r="L1" s="57" t="str">
        <x:v>Notes</x:v>
      </x:c>
    </x:row>
    <x:row r="2">
      <x:c r="A2" s="12" t="str">
        <x:v>G-01</x:v>
      </x:c>
      <x:c r="B2" s="12" t="str">
        <x:v>Graph</x:v>
      </x:c>
      <x:c r="C2" s="12" t="str">
        <x:v>Create approved mailbox subscription</x:v>
      </x:c>
      <x:c r="D2" s="12" t="str"/>
      <x:c r="E2" s="12" t="str">
        <x:v>Not Started</x:v>
      </x:c>
      <x:c r="F2" s="12" t="str">
        <x:v>UNKNOWN</x:v>
      </x:c>
      <x:c r="G2" s="12" t="str"/>
      <x:c r="H2" s="12" t="str"/>
      <x:c r="I2" s="12" t="str"/>
      <x:c r="J2" s="14" t="str"/>
      <x:c r="K2" s="14" t="str"/>
      <x:c r="L2" s="12" t="str"/>
    </x:row>
    <x:row r="3">
      <x:c r="A3" s="12" t="str">
        <x:v>G-02</x:v>
      </x:c>
      <x:c r="B3" s="12" t="str">
        <x:v>Graph</x:v>
      </x:c>
      <x:c r="C3" s="12" t="str">
        <x:v>Receive notification and durable queue</x:v>
      </x:c>
      <x:c r="D3" s="12" t="str"/>
      <x:c r="E3" s="12" t="str">
        <x:v>Not Started</x:v>
      </x:c>
      <x:c r="F3" s="12" t="str">
        <x:v>UNKNOWN</x:v>
      </x:c>
      <x:c r="G3" s="12" t="str"/>
      <x:c r="H3" s="12" t="str"/>
      <x:c r="I3" s="12" t="str"/>
      <x:c r="J3" s="14" t="str"/>
      <x:c r="K3" s="14" t="str"/>
      <x:c r="L3" s="12" t="str"/>
    </x:row>
    <x:row r="4">
      <x:c r="A4" s="12" t="str">
        <x:v>G-03</x:v>
      </x:c>
      <x:c r="B4" s="12" t="str">
        <x:v>Graph</x:v>
      </x:c>
      <x:c r="C4" s="12" t="str">
        <x:v>Fetch message metadata/body</x:v>
      </x:c>
      <x:c r="D4" s="12" t="str"/>
      <x:c r="E4" s="12" t="str">
        <x:v>Not Started</x:v>
      </x:c>
      <x:c r="F4" s="12" t="str">
        <x:v>UNKNOWN</x:v>
      </x:c>
      <x:c r="G4" s="12" t="str"/>
      <x:c r="H4" s="12" t="str"/>
      <x:c r="I4" s="12" t="str"/>
      <x:c r="J4" s="14" t="str"/>
      <x:c r="K4" s="14" t="str"/>
      <x:c r="L4" s="12" t="str"/>
    </x:row>
    <x:row r="5">
      <x:c r="A5" s="12" t="str">
        <x:v>G-04</x:v>
      </x:c>
      <x:c r="B5" s="12" t="str">
        <x:v>Graph</x:v>
      </x:c>
      <x:c r="C5" s="12" t="str">
        <x:v>Fetch attachments</x:v>
      </x:c>
      <x:c r="D5" s="12" t="str"/>
      <x:c r="E5" s="12" t="str">
        <x:v>Not Started</x:v>
      </x:c>
      <x:c r="F5" s="12" t="str">
        <x:v>UNKNOWN</x:v>
      </x:c>
      <x:c r="G5" s="12" t="str"/>
      <x:c r="H5" s="12" t="str"/>
      <x:c r="I5" s="12" t="str"/>
      <x:c r="J5" s="14" t="str"/>
      <x:c r="K5" s="14" t="str"/>
      <x:c r="L5" s="12" t="str"/>
    </x:row>
    <x:row r="6">
      <x:c r="A6" s="12" t="str">
        <x:v>G-05</x:v>
      </x:c>
      <x:c r="B6" s="12" t="str">
        <x:v>Graph</x:v>
      </x:c>
      <x:c r="C6" s="12" t="str">
        <x:v>Duplicate/replay idempotency</x:v>
      </x:c>
      <x:c r="D6" s="12" t="str"/>
      <x:c r="E6" s="12" t="str">
        <x:v>Not Started</x:v>
      </x:c>
      <x:c r="F6" s="12" t="str">
        <x:v>UNKNOWN</x:v>
      </x:c>
      <x:c r="G6" s="12" t="str"/>
      <x:c r="H6" s="12" t="str"/>
      <x:c r="I6" s="12" t="str"/>
      <x:c r="J6" s="14" t="str"/>
      <x:c r="K6" s="14" t="str"/>
      <x:c r="L6" s="12" t="str"/>
    </x:row>
    <x:row r="7">
      <x:c r="A7" s="12" t="str">
        <x:v>G-06</x:v>
      </x:c>
      <x:c r="B7" s="12" t="str">
        <x:v>Graph</x:v>
      </x:c>
      <x:c r="C7" s="12" t="str">
        <x:v>Delta reconciliation</x:v>
      </x:c>
      <x:c r="D7" s="12" t="str"/>
      <x:c r="E7" s="12" t="str">
        <x:v>Not Started</x:v>
      </x:c>
      <x:c r="F7" s="12" t="str">
        <x:v>UNKNOWN</x:v>
      </x:c>
      <x:c r="G7" s="12" t="str"/>
      <x:c r="H7" s="12" t="str"/>
      <x:c r="I7" s="12" t="str"/>
      <x:c r="J7" s="14" t="str"/>
      <x:c r="K7" s="14" t="str"/>
      <x:c r="L7" s="12" t="str"/>
    </x:row>
    <x:row r="8">
      <x:c r="A8" s="12" t="str">
        <x:v>G-07</x:v>
      </x:c>
      <x:c r="B8" s="12" t="str">
        <x:v>Graph</x:v>
      </x:c>
      <x:c r="C8" s="12" t="str">
        <x:v>Lifecycle renewal/removal</x:v>
      </x:c>
      <x:c r="D8" s="12" t="str"/>
      <x:c r="E8" s="12" t="str">
        <x:v>Not Started</x:v>
      </x:c>
      <x:c r="F8" s="12" t="str">
        <x:v>UNKNOWN</x:v>
      </x:c>
      <x:c r="G8" s="12" t="str"/>
      <x:c r="H8" s="12" t="str"/>
      <x:c r="I8" s="12" t="str"/>
      <x:c r="J8" s="14" t="str"/>
      <x:c r="K8" s="14" t="str"/>
      <x:c r="L8" s="12" t="str"/>
    </x:row>
    <x:row r="9">
      <x:c r="A9" s="12" t="str">
        <x:v>G-08</x:v>
      </x:c>
      <x:c r="B9" s="12" t="str">
        <x:v>Graph</x:v>
      </x:c>
      <x:c r="C9" s="12" t="str">
        <x:v>Out-of-scope mailbox denied</x:v>
      </x:c>
      <x:c r="D9" s="12" t="str"/>
      <x:c r="E9" s="12" t="str">
        <x:v>Not Started</x:v>
      </x:c>
      <x:c r="F9" s="12" t="str">
        <x:v>UNKNOWN</x:v>
      </x:c>
      <x:c r="G9" s="12" t="str"/>
      <x:c r="H9" s="12" t="str"/>
      <x:c r="I9" s="12" t="str"/>
      <x:c r="J9" s="14" t="str"/>
      <x:c r="K9" s="14" t="str"/>
      <x:c r="L9" s="12" t="str"/>
    </x:row>
    <x:row r="10">
      <x:c r="A10" s="12" t="str">
        <x:v>D-01</x:v>
      </x:c>
      <x:c r="B10" s="12" t="str">
        <x:v>Documents</x:v>
      </x:c>
      <x:c r="C10" s="12" t="str">
        <x:v>Type mismatch quarantine</x:v>
      </x:c>
      <x:c r="D10" s="12" t="str"/>
      <x:c r="E10" s="12" t="str">
        <x:v>Not Started</x:v>
      </x:c>
      <x:c r="F10" s="12" t="str">
        <x:v>UNKNOWN</x:v>
      </x:c>
      <x:c r="G10" s="12" t="str"/>
      <x:c r="H10" s="12" t="str"/>
      <x:c r="I10" s="12" t="str"/>
      <x:c r="J10" s="14" t="str"/>
      <x:c r="K10" s="14" t="str"/>
      <x:c r="L10" s="12" t="str"/>
    </x:row>
    <x:row r="11">
      <x:c r="A11" s="12" t="str">
        <x:v>D-02</x:v>
      </x:c>
      <x:c r="B11" s="12" t="str">
        <x:v>Documents</x:v>
      </x:c>
      <x:c r="C11" s="12" t="str">
        <x:v>Malware/quarantine path</x:v>
      </x:c>
      <x:c r="D11" s="12" t="str"/>
      <x:c r="E11" s="12" t="str">
        <x:v>Not Started</x:v>
      </x:c>
      <x:c r="F11" s="12" t="str">
        <x:v>UNKNOWN</x:v>
      </x:c>
      <x:c r="G11" s="12" t="str"/>
      <x:c r="H11" s="12" t="str"/>
      <x:c r="I11" s="12" t="str"/>
      <x:c r="J11" s="14" t="str"/>
      <x:c r="K11" s="14" t="str"/>
      <x:c r="L11" s="12" t="str"/>
    </x:row>
    <x:row r="12">
      <x:c r="A12" s="12" t="str">
        <x:v>D-03</x:v>
      </x:c>
      <x:c r="B12" s="12" t="str">
        <x:v>Documents</x:v>
      </x:c>
      <x:c r="C12" s="12" t="str">
        <x:v>Duplicate hash handling</x:v>
      </x:c>
      <x:c r="D12" s="12" t="str"/>
      <x:c r="E12" s="12" t="str">
        <x:v>Not Started</x:v>
      </x:c>
      <x:c r="F12" s="12" t="str">
        <x:v>UNKNOWN</x:v>
      </x:c>
      <x:c r="G12" s="12" t="str"/>
      <x:c r="H12" s="12" t="str"/>
      <x:c r="I12" s="12" t="str"/>
      <x:c r="J12" s="14" t="str"/>
      <x:c r="K12" s="14" t="str"/>
      <x:c r="L12" s="12" t="str"/>
    </x:row>
    <x:row r="13">
      <x:c r="A13" s="12" t="str">
        <x:v>D-04</x:v>
      </x:c>
      <x:c r="B13" s="12" t="str">
        <x:v>Documents</x:v>
      </x:c>
      <x:c r="C13" s="12" t="str">
        <x:v>Parser crash isolation</x:v>
      </x:c>
      <x:c r="D13" s="12" t="str"/>
      <x:c r="E13" s="12" t="str">
        <x:v>Not Started</x:v>
      </x:c>
      <x:c r="F13" s="12" t="str">
        <x:v>UNKNOWN</x:v>
      </x:c>
      <x:c r="G13" s="12" t="str"/>
      <x:c r="H13" s="12" t="str"/>
      <x:c r="I13" s="12" t="str"/>
      <x:c r="J13" s="14" t="str"/>
      <x:c r="K13" s="14" t="str"/>
      <x:c r="L13" s="12" t="str"/>
    </x:row>
    <x:row r="14">
      <x:c r="A14" s="12" t="str">
        <x:v>D-05</x:v>
      </x:c>
      <x:c r="B14" s="12" t="str">
        <x:v>Documents</x:v>
      </x:c>
      <x:c r="C14" s="12" t="str">
        <x:v>Encrypted/password file</x:v>
      </x:c>
      <x:c r="D14" s="12" t="str"/>
      <x:c r="E14" s="12" t="str">
        <x:v>Not Started</x:v>
      </x:c>
      <x:c r="F14" s="12" t="str">
        <x:v>UNKNOWN</x:v>
      </x:c>
      <x:c r="G14" s="12" t="str"/>
      <x:c r="H14" s="12" t="str"/>
      <x:c r="I14" s="12" t="str"/>
      <x:c r="J14" s="14" t="str"/>
      <x:c r="K14" s="14" t="str"/>
      <x:c r="L14" s="12" t="str"/>
    </x:row>
    <x:row r="15">
      <x:c r="A15" s="12" t="str">
        <x:v>D-06</x:v>
      </x:c>
      <x:c r="B15" s="12" t="str">
        <x:v>Documents</x:v>
      </x:c>
      <x:c r="C15" s="12" t="str">
        <x:v>Oversize/archive controls</x:v>
      </x:c>
      <x:c r="D15" s="12" t="str"/>
      <x:c r="E15" s="12" t="str">
        <x:v>Not Started</x:v>
      </x:c>
      <x:c r="F15" s="12" t="str">
        <x:v>UNKNOWN</x:v>
      </x:c>
      <x:c r="G15" s="12" t="str"/>
      <x:c r="H15" s="12" t="str"/>
      <x:c r="I15" s="12" t="str"/>
      <x:c r="J15" s="14" t="str"/>
      <x:c r="K15" s="14" t="str"/>
      <x:c r="L15" s="12" t="str"/>
    </x:row>
    <x:row r="16">
      <x:c r="A16" s="12" t="str">
        <x:v>D-07</x:v>
      </x:c>
      <x:c r="B16" s="12" t="str">
        <x:v>Documents</x:v>
      </x:c>
      <x:c r="C16" s="12" t="str">
        <x:v>Prompt injection blocked</x:v>
      </x:c>
      <x:c r="D16" s="12" t="str"/>
      <x:c r="E16" s="12" t="str">
        <x:v>Not Started</x:v>
      </x:c>
      <x:c r="F16" s="12" t="str">
        <x:v>UNKNOWN</x:v>
      </x:c>
      <x:c r="G16" s="12" t="str"/>
      <x:c r="H16" s="12" t="str"/>
      <x:c r="I16" s="12" t="str"/>
      <x:c r="J16" s="14" t="str"/>
      <x:c r="K16" s="14" t="str"/>
      <x:c r="L16" s="12" t="str"/>
    </x:row>
    <x:row r="17">
      <x:c r="A17" s="12" t="str">
        <x:v>P-R01</x:v>
      </x:c>
      <x:c r="B17" s="12" t="str">
        <x:v>Proclaim</x:v>
      </x:c>
      <x:c r="C17" s="12" t="str">
        <x:v>Exact matter lookup</x:v>
      </x:c>
      <x:c r="D17" s="12" t="str"/>
      <x:c r="E17" s="12" t="str">
        <x:v>Not Started</x:v>
      </x:c>
      <x:c r="F17" s="12" t="str">
        <x:v>UNKNOWN</x:v>
      </x:c>
      <x:c r="G17" s="12" t="str"/>
      <x:c r="H17" s="12" t="str"/>
      <x:c r="I17" s="12" t="str"/>
      <x:c r="J17" s="14" t="str"/>
      <x:c r="K17" s="14" t="str"/>
      <x:c r="L17" s="12" t="str"/>
    </x:row>
    <x:row r="18">
      <x:c r="A18" s="12" t="str">
        <x:v>P-R02</x:v>
      </x:c>
      <x:c r="B18" s="12" t="str">
        <x:v>Proclaim</x:v>
      </x:c>
      <x:c r="C18" s="12" t="str">
        <x:v>Read matter fields/history</x:v>
      </x:c>
      <x:c r="D18" s="12" t="str"/>
      <x:c r="E18" s="12" t="str">
        <x:v>Not Started</x:v>
      </x:c>
      <x:c r="F18" s="12" t="str">
        <x:v>UNKNOWN</x:v>
      </x:c>
      <x:c r="G18" s="12" t="str"/>
      <x:c r="H18" s="12" t="str"/>
      <x:c r="I18" s="12" t="str"/>
      <x:c r="J18" s="14" t="str"/>
      <x:c r="K18" s="14" t="str"/>
      <x:c r="L18" s="12" t="str"/>
    </x:row>
    <x:row r="19">
      <x:c r="A19" s="12" t="str">
        <x:v>P-W01</x:v>
      </x:c>
      <x:c r="B19" s="12" t="str">
        <x:v>Proclaim</x:v>
      </x:c>
      <x:c r="C19" s="12" t="str">
        <x:v>Create history note + readback</x:v>
      </x:c>
      <x:c r="D19" s="12" t="str"/>
      <x:c r="E19" s="12" t="str">
        <x:v>Not Started</x:v>
      </x:c>
      <x:c r="F19" s="12" t="str">
        <x:v>UNKNOWN</x:v>
      </x:c>
      <x:c r="G19" s="12" t="str"/>
      <x:c r="H19" s="12" t="str"/>
      <x:c r="I19" s="12" t="str"/>
      <x:c r="J19" s="14" t="str"/>
      <x:c r="K19" s="14" t="str"/>
      <x:c r="L19" s="12" t="str"/>
    </x:row>
    <x:row r="20">
      <x:c r="A20" s="12" t="str">
        <x:v>P-W02</x:v>
      </x:c>
      <x:c r="B20" s="12" t="str">
        <x:v>Proclaim</x:v>
      </x:c>
      <x:c r="C20" s="12" t="str">
        <x:v>File email/document</x:v>
      </x:c>
      <x:c r="D20" s="12" t="str"/>
      <x:c r="E20" s="12" t="str">
        <x:v>Not Started</x:v>
      </x:c>
      <x:c r="F20" s="12" t="str">
        <x:v>UNKNOWN</x:v>
      </x:c>
      <x:c r="G20" s="12" t="str"/>
      <x:c r="H20" s="12" t="str"/>
      <x:c r="I20" s="12" t="str"/>
      <x:c r="J20" s="14" t="str"/>
      <x:c r="K20" s="14" t="str"/>
      <x:c r="L20" s="12" t="str"/>
    </x:row>
    <x:row r="21">
      <x:c r="A21" s="12" t="str">
        <x:v>P-W03</x:v>
      </x:c>
      <x:c r="B21" s="12" t="str">
        <x:v>Proclaim</x:v>
      </x:c>
      <x:c r="C21" s="12" t="str">
        <x:v>Create task if supported</x:v>
      </x:c>
      <x:c r="D21" s="12" t="str"/>
      <x:c r="E21" s="12" t="str">
        <x:v>Not Started</x:v>
      </x:c>
      <x:c r="F21" s="12" t="str">
        <x:v>UNKNOWN</x:v>
      </x:c>
      <x:c r="G21" s="12" t="str"/>
      <x:c r="H21" s="12" t="str"/>
      <x:c r="I21" s="12" t="str"/>
      <x:c r="J21" s="14" t="str"/>
      <x:c r="K21" s="14" t="str"/>
      <x:c r="L21" s="12" t="str"/>
    </x:row>
    <x:row r="22">
      <x:c r="A22" s="12" t="str">
        <x:v>P-REL</x:v>
      </x:c>
      <x:c r="B22" s="12" t="str">
        <x:v>Proclaim</x:v>
      </x:c>
      <x:c r="C22" s="12" t="str">
        <x:v>Unknown-outcome reconciliation</x:v>
      </x:c>
      <x:c r="D22" s="12" t="str"/>
      <x:c r="E22" s="12" t="str">
        <x:v>Not Started</x:v>
      </x:c>
      <x:c r="F22" s="12" t="str">
        <x:v>UNKNOWN</x:v>
      </x:c>
      <x:c r="G22" s="12" t="str"/>
      <x:c r="H22" s="12" t="str"/>
      <x:c r="I22" s="12" t="str"/>
      <x:c r="J22" s="14" t="str"/>
      <x:c r="K22" s="14" t="str"/>
      <x:c r="L22" s="12" t="str"/>
    </x:row>
    <x:row r="23">
      <x:c r="A23" s="12" t="str">
        <x:v>E-01</x:v>
      </x:c>
      <x:c r="B23" s="12" t="str">
        <x:v>Evaluation</x:v>
      </x:c>
      <x:c r="C23" s="12" t="str">
        <x:v>Synthetic matter-match harness</x:v>
      </x:c>
      <x:c r="D23" s="12" t="str"/>
      <x:c r="E23" s="12" t="str">
        <x:v>Not Started</x:v>
      </x:c>
      <x:c r="F23" s="12" t="str">
        <x:v>UNKNOWN</x:v>
      </x:c>
      <x:c r="G23" s="12" t="str"/>
      <x:c r="H23" s="12" t="str"/>
      <x:c r="I23" s="12" t="str"/>
      <x:c r="J23" s="14" t="str"/>
      <x:c r="K23" s="14" t="str"/>
      <x:c r="L23" s="12" t="str"/>
    </x:row>
    <x:row r="24">
      <x:c r="A24" s="12" t="str">
        <x:v>E-02</x:v>
      </x:c>
      <x:c r="B24" s="12" t="str">
        <x:v>Evaluation</x:v>
      </x:c>
      <x:c r="C24" s="12" t="str">
        <x:v>Classification benchmark</x:v>
      </x:c>
      <x:c r="D24" s="12" t="str"/>
      <x:c r="E24" s="12" t="str">
        <x:v>Not Started</x:v>
      </x:c>
      <x:c r="F24" s="12" t="str">
        <x:v>UNKNOWN</x:v>
      </x:c>
      <x:c r="G24" s="12" t="str"/>
      <x:c r="H24" s="12" t="str"/>
      <x:c r="I24" s="12" t="str"/>
      <x:c r="J24" s="14" t="str"/>
      <x:c r="K24" s="14" t="str"/>
      <x:c r="L24" s="12" t="str"/>
    </x:row>
    <x:row r="25">
      <x:c r="A25" s="12" t="str">
        <x:v>E-03</x:v>
      </x:c>
      <x:c r="B25" s="12" t="str">
        <x:v>Evaluation</x:v>
      </x:c>
      <x:c r="C25" s="12" t="str">
        <x:v>Prompt-injection corpus</x:v>
      </x:c>
      <x:c r="D25" s="12" t="str"/>
      <x:c r="E25" s="12" t="str">
        <x:v>Not Started</x:v>
      </x:c>
      <x:c r="F25" s="12" t="str">
        <x:v>UNKNOWN</x:v>
      </x:c>
      <x:c r="G25" s="12" t="str"/>
      <x:c r="H25" s="12" t="str"/>
      <x:c r="I25" s="12" t="str"/>
      <x:c r="J25" s="14" t="str"/>
      <x:c r="K25" s="14" t="str"/>
      <x:c r="L25" s="12" t="str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</x:sheetData>
  <x:dataValidations count="2">
    <x:dataValidation type="list" sqref="E2:E25">
      <x:formula1>"Not Started,In Progress,Passed,Failed,Partial,Blocked"</x:formula1>
    </x:dataValidation>
    <x:dataValidation type="list" sqref="F2:F25">
      <x:formula1>"GREEN,AMBER,RED,UNKNOWN"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14" hidden="0" customWidth="1"/>
    <x:col min="5" max="5" width="22" hidden="0" customWidth="1"/>
    <x:col min="6" max="6" width="20" hidden="0" customWidth="1"/>
    <x:col min="7" max="7" width="13" hidden="0" customWidth="1"/>
    <x:col min="8" max="8" width="32" hidden="0" customWidth="1"/>
    <x:col min="9" max="9" width="28" hidden="0" customWidth="1"/>
    <x:col min="10" max="10" width="16" hidden="0" customWidth="1"/>
    <x:col min="11" max="11" width="16" hidden="0" customWidth="1"/>
    <x:col min="12" max="12" width="15" hidden="0" customWidth="1"/>
    <x:col min="13" max="13" width="28" hidden="0" customWidth="1"/>
    <x:col min="14" max="14" width="17" hidden="0" customWidth="1"/>
    <x:col min="15" max="15" width="20" hidden="0" customWidth="1"/>
    <x:col min="16" max="16" width="22" hidden="0" customWidth="1"/>
    <x:col min="17" max="17" width="17" hidden="0" customWidth="1"/>
    <x:col min="18" max="18" width="28" hidden="0" customWidth="1"/>
    <x:col min="19" max="19" width="34" hidden="0" customWidth="1"/>
    <x:col min="20" max="20" width="36" hidden="0" customWidth="1"/>
  </x:cols>
  <x:sheetData>
    <x:row r="1">
      <x:c r="A1" s="57" t="str">
        <x:v>Firm</x:v>
      </x:c>
      <x:c r="B1" s="57" t="str">
        <x:v>Proclaim Evidence</x:v>
      </x:c>
      <x:c r="C1" s="57" t="str">
        <x:v>Practice Area</x:v>
      </x:c>
      <x:c r="D1" s="57" t="str">
        <x:v>Approx Users</x:v>
      </x:c>
      <x:c r="E1" s="57" t="str">
        <x:v>Interviewee</x:v>
      </x:c>
      <x:c r="F1" s="57" t="str">
        <x:v>Role</x:v>
      </x:c>
      <x:c r="G1" s="57" t="str">
        <x:v>Date</x:v>
      </x:c>
      <x:c r="H1" s="57" t="str">
        <x:v>Repeated Pain</x:v>
      </x:c>
      <x:c r="I1" s="57" t="str">
        <x:v>Workflow</x:v>
      </x:c>
      <x:c r="J1" s="57" t="str">
        <x:v>People Doing It</x:v>
      </x:c>
      <x:c r="K1" s="57" t="str">
        <x:v>Frequency</x:v>
      </x:c>
      <x:c r="L1" s="57" t="str">
        <x:v>Minutes/Event</x:v>
      </x:c>
      <x:c r="M1" s="57" t="str">
        <x:v>Current Automation</x:v>
      </x:c>
      <x:c r="N1" s="57" t="str">
        <x:v>Access Possible?</x:v>
      </x:c>
      <x:c r="O1" s="57" t="str">
        <x:v>Evo Plans</x:v>
      </x:c>
      <x:c r="P1" s="57" t="str">
        <x:v>Buyer</x:v>
      </x:c>
      <x:c r="Q1" s="57" t="str">
        <x:v>Pilot Interest</x:v>
      </x:c>
      <x:c r="R1" s="57" t="str">
        <x:v>Willingness to Pay Signal</x:v>
      </x:c>
      <x:c r="S1" s="57" t="str">
        <x:v>Disconfirming Evidence</x:v>
      </x:c>
      <x:c r="T1" s="57" t="str">
        <x:v>Source/Notes</x:v>
      </x:c>
    </x:row>
    <x:row r="2">
      <x:c r="A2" s="12" t="str">
        <x:v>Robert James Solicitors</x:v>
      </x:c>
      <x:c r="B2" s="12" t="str">
        <x:v>Current public Proclaim evidence</x:v>
      </x:c>
      <x:c r="C2" s="12" t="str">
        <x:v>Personal Injury</x:v>
      </x:c>
      <x:c r="D2" s="12"/>
      <x:c r="E2" s="12"/>
      <x:c r="F2" s="12"/>
      <x:c r="G2" s="14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str">
        <x:v>Ralli Ltd</x:v>
      </x:c>
      <x:c r="B3" s="12" t="str">
        <x:v>Current first-party Proclaim CMS evidence</x:v>
      </x:c>
      <x:c r="C3" s="12" t="str">
        <x:v>Personal Injury</x:v>
      </x:c>
      <x:c r="D3" s="12"/>
      <x:c r="E3" s="12"/>
      <x:c r="F3" s="12"/>
      <x:c r="G3" s="14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Express Solicitors</x:v>
      </x:c>
      <x:c r="B4" s="12" t="str">
        <x:v>Current Proclaim developer / role evidence</x:v>
      </x:c>
      <x:c r="C4" s="12" t="str">
        <x:v>Personal Injury</x:v>
      </x:c>
      <x:c r="D4" s="12"/>
      <x:c r="E4" s="12"/>
      <x:c r="F4" s="12"/>
      <x:c r="G4" s="14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str">
        <x:v>Fletchers Group</x:v>
      </x:c>
      <x:c r="B5" s="12" t="str">
        <x:v>Current role evidence references Proclaim</x:v>
      </x:c>
      <x:c r="C5" s="12" t="str">
        <x:v>Clinical Negligence</x:v>
      </x:c>
      <x:c r="D5" s="12"/>
      <x:c r="E5" s="12"/>
      <x:c r="F5" s="12"/>
      <x:c r="G5" s="14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str">
        <x:v>Minster Law</x:v>
      </x:c>
      <x:c r="B6" s="12" t="str">
        <x:v>Current Proclaim developer role taxonomy</x:v>
      </x:c>
      <x:c r="C6" s="12" t="str">
        <x:v>Personal Injury</x:v>
      </x:c>
      <x:c r="D6" s="12"/>
      <x:c r="E6" s="12"/>
      <x:c r="F6" s="12"/>
      <x:c r="G6" s="14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/>
      <x:c r="B7" s="12"/>
      <x:c r="C7" s="12"/>
      <x:c r="D7" s="12"/>
      <x:c r="E7" s="12"/>
      <x:c r="F7" s="12"/>
      <x:c r="G7" s="14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/>
      <x:c r="B8" s="12"/>
      <x:c r="C8" s="12"/>
      <x:c r="D8" s="12"/>
      <x:c r="E8" s="12"/>
      <x:c r="F8" s="12"/>
      <x:c r="G8" s="14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/>
      <x:c r="B9" s="12"/>
      <x:c r="C9" s="12"/>
      <x:c r="D9" s="12"/>
      <x:c r="E9" s="12"/>
      <x:c r="F9" s="12"/>
      <x:c r="G9" s="14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/>
      <x:c r="B10" s="12"/>
      <x:c r="C10" s="12"/>
      <x:c r="D10" s="12"/>
      <x:c r="E10" s="12"/>
      <x:c r="F10" s="12"/>
      <x:c r="G10" s="14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/>
      <x:c r="B11" s="12"/>
      <x:c r="C11" s="12"/>
      <x:c r="D11" s="12"/>
      <x:c r="E11" s="12"/>
      <x:c r="F11" s="12"/>
      <x:c r="G11" s="14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/>
      <x:c r="F12" s="12"/>
      <x:c r="G12" s="14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4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4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4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4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4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4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4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4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4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4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4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4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4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4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4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4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4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4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4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4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4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4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4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4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4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4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4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4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4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4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4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4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4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4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4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4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4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4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4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4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4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4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4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4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4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4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4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4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4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4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4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4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4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4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4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4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4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4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4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4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4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4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4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4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4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4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4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4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>
      <x:c r="A81" s="12"/>
      <x:c r="B81" s="12"/>
      <x:c r="C81" s="12"/>
      <x:c r="D81" s="12"/>
      <x:c r="E81" s="12"/>
      <x:c r="F81" s="12"/>
      <x:c r="G81" s="14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>
      <x:c r="A82" s="12"/>
      <x:c r="B82" s="12"/>
      <x:c r="C82" s="12"/>
      <x:c r="D82" s="12"/>
      <x:c r="E82" s="12"/>
      <x:c r="F82" s="12"/>
      <x:c r="G82" s="14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>
      <x:c r="A83" s="12"/>
      <x:c r="B83" s="12"/>
      <x:c r="C83" s="12"/>
      <x:c r="D83" s="12"/>
      <x:c r="E83" s="12"/>
      <x:c r="F83" s="12"/>
      <x:c r="G83" s="14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>
      <x:c r="A84" s="12"/>
      <x:c r="B84" s="12"/>
      <x:c r="C84" s="12"/>
      <x:c r="D84" s="12"/>
      <x:c r="E84" s="12"/>
      <x:c r="F84" s="12"/>
      <x:c r="G84" s="14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>
      <x:c r="A85" s="12"/>
      <x:c r="B85" s="12"/>
      <x:c r="C85" s="12"/>
      <x:c r="D85" s="12"/>
      <x:c r="E85" s="12"/>
      <x:c r="F85" s="12"/>
      <x:c r="G85" s="14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>
      <x:c r="A86" s="12"/>
      <x:c r="B86" s="12"/>
      <x:c r="C86" s="12"/>
      <x:c r="D86" s="12"/>
      <x:c r="E86" s="12"/>
      <x:c r="F86" s="12"/>
      <x:c r="G86" s="14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>
      <x:c r="A87" s="12"/>
      <x:c r="B87" s="12"/>
      <x:c r="C87" s="12"/>
      <x:c r="D87" s="12"/>
      <x:c r="E87" s="12"/>
      <x:c r="F87" s="12"/>
      <x:c r="G87" s="14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>
      <x:c r="A88" s="12"/>
      <x:c r="B88" s="12"/>
      <x:c r="C88" s="12"/>
      <x:c r="D88" s="12"/>
      <x:c r="E88" s="12"/>
      <x:c r="F88" s="12"/>
      <x:c r="G88" s="14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>
      <x:c r="A89" s="12"/>
      <x:c r="B89" s="12"/>
      <x:c r="C89" s="12"/>
      <x:c r="D89" s="12"/>
      <x:c r="E89" s="12"/>
      <x:c r="F89" s="12"/>
      <x:c r="G89" s="14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>
      <x:c r="A90" s="12"/>
      <x:c r="B90" s="12"/>
      <x:c r="C90" s="12"/>
      <x:c r="D90" s="12"/>
      <x:c r="E90" s="12"/>
      <x:c r="F90" s="12"/>
      <x:c r="G90" s="14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>
      <x:c r="A91" s="12"/>
      <x:c r="B91" s="12"/>
      <x:c r="C91" s="12"/>
      <x:c r="D91" s="12"/>
      <x:c r="E91" s="12"/>
      <x:c r="F91" s="12"/>
      <x:c r="G91" s="14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>
      <x:c r="A92" s="12"/>
      <x:c r="B92" s="12"/>
      <x:c r="C92" s="12"/>
      <x:c r="D92" s="12"/>
      <x:c r="E92" s="12"/>
      <x:c r="F92" s="12"/>
      <x:c r="G92" s="14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>
      <x:c r="A93" s="12"/>
      <x:c r="B93" s="12"/>
      <x:c r="C93" s="12"/>
      <x:c r="D93" s="12"/>
      <x:c r="E93" s="12"/>
      <x:c r="F93" s="12"/>
      <x:c r="G93" s="14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>
      <x:c r="A94" s="12"/>
      <x:c r="B94" s="12"/>
      <x:c r="C94" s="12"/>
      <x:c r="D94" s="12"/>
      <x:c r="E94" s="12"/>
      <x:c r="F94" s="12"/>
      <x:c r="G94" s="14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>
      <x:c r="A95" s="12"/>
      <x:c r="B95" s="12"/>
      <x:c r="C95" s="12"/>
      <x:c r="D95" s="12"/>
      <x:c r="E95" s="12"/>
      <x:c r="F95" s="12"/>
      <x:c r="G95" s="14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>
      <x:c r="A96" s="12"/>
      <x:c r="B96" s="12"/>
      <x:c r="C96" s="12"/>
      <x:c r="D96" s="12"/>
      <x:c r="E96" s="12"/>
      <x:c r="F96" s="12"/>
      <x:c r="G96" s="14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>
      <x:c r="A97" s="12"/>
      <x:c r="B97" s="12"/>
      <x:c r="C97" s="12"/>
      <x:c r="D97" s="12"/>
      <x:c r="E97" s="12"/>
      <x:c r="F97" s="12"/>
      <x:c r="G97" s="14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>
      <x:c r="A98" s="12"/>
      <x:c r="B98" s="12"/>
      <x:c r="C98" s="12"/>
      <x:c r="D98" s="12"/>
      <x:c r="E98" s="12"/>
      <x:c r="F98" s="12"/>
      <x:c r="G98" s="14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>
      <x:c r="A99" s="12"/>
      <x:c r="B99" s="12"/>
      <x:c r="C99" s="12"/>
      <x:c r="D99" s="12"/>
      <x:c r="E99" s="12"/>
      <x:c r="F99" s="12"/>
      <x:c r="G99" s="14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>
      <x:c r="A100" s="12"/>
      <x:c r="B100" s="12"/>
      <x:c r="C100" s="12"/>
      <x:c r="D100" s="12"/>
      <x:c r="E100" s="12"/>
      <x:c r="F100" s="12"/>
      <x:c r="G100" s="14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>
      <x:c r="A101" s="12"/>
      <x:c r="B101" s="12"/>
      <x:c r="C101" s="12"/>
      <x:c r="D101" s="12"/>
      <x:c r="E101" s="12"/>
      <x:c r="F101" s="12"/>
      <x:c r="G101" s="14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</x:sheetData>
  <x:dataValidations count="3">
    <x:dataValidation type="list" sqref="C2:C101">
      <x:formula1>Lists!$H$2:$H$9</x:formula1>
    </x:dataValidation>
    <x:dataValidation type="list" sqref="N2:N101">
      <x:formula1>"Yes,No,Maybe,Unknown"</x:formula1>
    </x:dataValidation>
    <x:dataValidation type="list" sqref="Q2:Q101">
      <x:formula1>"Yes,No,Maybe,Unknown"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6" hidden="0" customWidth="1"/>
    <x:col min="4" max="4" width="16" hidden="0" customWidth="1"/>
    <x:col min="5" max="5" width="22" hidden="0" customWidth="1"/>
    <x:col min="6" max="6" width="38" hidden="0" customWidth="1"/>
    <x:col min="7" max="7" width="34" hidden="0" customWidth="1"/>
    <x:col min="8" max="8" width="18" hidden="0" customWidth="1"/>
    <x:col min="9" max="9" width="30" hidden="0" customWidth="1"/>
    <x:col min="10" max="10" width="32" hidden="0" customWidth="1"/>
  </x:cols>
  <x:sheetData>
    <x:row r="1">
      <x:c r="A1" s="57" t="str">
        <x:v>Decision ID</x:v>
      </x:c>
      <x:c r="B1" s="57" t="str">
        <x:v>Date</x:v>
      </x:c>
      <x:c r="C1" s="57" t="str">
        <x:v>Decision</x:v>
      </x:c>
      <x:c r="D1" s="57" t="str">
        <x:v>State</x:v>
      </x:c>
      <x:c r="E1" s="57" t="str">
        <x:v>Evidence Type</x:v>
      </x:c>
      <x:c r="F1" s="57" t="str">
        <x:v>Evidence / Source</x:v>
      </x:c>
      <x:c r="G1" s="57" t="str">
        <x:v>What Changed</x:v>
      </x:c>
      <x:c r="H1" s="57" t="str">
        <x:v>Owner</x:v>
      </x:c>
      <x:c r="I1" s="57" t="str">
        <x:v>Revisit Trigger</x:v>
      </x:c>
      <x:c r="J1" s="57" t="str">
        <x:v>Notes</x:v>
      </x:c>
    </x:row>
    <x:row r="2">
      <x:c r="A2" s="12" t="str">
        <x:v>DEC-001</x:v>
      </x:c>
      <x:c r="B2" s="14"/>
      <x:c r="C2" s="12"/>
      <x:c r="D2" s="12"/>
      <x:c r="E2" s="12"/>
      <x:c r="F2" s="12"/>
      <x:c r="G2" s="12"/>
      <x:c r="H2" s="12"/>
      <x:c r="I2" s="12"/>
      <x:c r="J2" s="12"/>
    </x:row>
    <x:row r="3">
      <x:c r="A3" s="12" t="str">
        <x:v>DEC-002</x:v>
      </x:c>
      <x:c r="B3" s="14"/>
      <x:c r="C3" s="12"/>
      <x:c r="D3" s="12"/>
      <x:c r="E3" s="12"/>
      <x:c r="F3" s="12"/>
      <x:c r="G3" s="12"/>
      <x:c r="H3" s="12"/>
      <x:c r="I3" s="12"/>
      <x:c r="J3" s="12"/>
    </x:row>
    <x:row r="4">
      <x:c r="A4" s="12" t="str">
        <x:v>DEC-003</x:v>
      </x:c>
      <x:c r="B4" s="14"/>
      <x:c r="C4" s="12"/>
      <x:c r="D4" s="12"/>
      <x:c r="E4" s="12"/>
      <x:c r="F4" s="12"/>
      <x:c r="G4" s="12"/>
      <x:c r="H4" s="12"/>
      <x:c r="I4" s="12"/>
      <x:c r="J4" s="12"/>
    </x:row>
    <x:row r="5">
      <x:c r="A5" s="12" t="str">
        <x:v>DEC-004</x:v>
      </x:c>
      <x:c r="B5" s="14"/>
      <x:c r="C5" s="12"/>
      <x:c r="D5" s="12"/>
      <x:c r="E5" s="12"/>
      <x:c r="F5" s="12"/>
      <x:c r="G5" s="12"/>
      <x:c r="H5" s="12"/>
      <x:c r="I5" s="12"/>
      <x:c r="J5" s="12"/>
    </x:row>
    <x:row r="6">
      <x:c r="A6" s="12" t="str">
        <x:v>DEC-005</x:v>
      </x:c>
      <x:c r="B6" s="14"/>
      <x:c r="C6" s="12"/>
      <x:c r="D6" s="12"/>
      <x:c r="E6" s="12"/>
      <x:c r="F6" s="12"/>
      <x:c r="G6" s="12"/>
      <x:c r="H6" s="12"/>
      <x:c r="I6" s="12"/>
      <x:c r="J6" s="12"/>
    </x:row>
    <x:row r="7">
      <x:c r="A7" s="12" t="str">
        <x:v>DEC-006</x:v>
      </x:c>
      <x:c r="B7" s="14"/>
      <x:c r="C7" s="12"/>
      <x:c r="D7" s="12"/>
      <x:c r="E7" s="12"/>
      <x:c r="F7" s="12"/>
      <x:c r="G7" s="12"/>
      <x:c r="H7" s="12"/>
      <x:c r="I7" s="12"/>
      <x:c r="J7" s="12"/>
    </x:row>
    <x:row r="8">
      <x:c r="A8" s="12" t="str">
        <x:v>DEC-007</x:v>
      </x:c>
      <x:c r="B8" s="14"/>
      <x:c r="C8" s="12"/>
      <x:c r="D8" s="12"/>
      <x:c r="E8" s="12"/>
      <x:c r="F8" s="12"/>
      <x:c r="G8" s="12"/>
      <x:c r="H8" s="12"/>
      <x:c r="I8" s="12"/>
      <x:c r="J8" s="12"/>
    </x:row>
    <x:row r="9">
      <x:c r="A9" s="12" t="str">
        <x:v>DEC-008</x:v>
      </x:c>
      <x:c r="B9" s="14"/>
      <x:c r="C9" s="12"/>
      <x:c r="D9" s="12"/>
      <x:c r="E9" s="12"/>
      <x:c r="F9" s="12"/>
      <x:c r="G9" s="12"/>
      <x:c r="H9" s="12"/>
      <x:c r="I9" s="12"/>
      <x:c r="J9" s="12"/>
    </x:row>
    <x:row r="10">
      <x:c r="A10" s="12" t="str">
        <x:v>DEC-009</x:v>
      </x:c>
      <x:c r="B10" s="14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 t="str">
        <x:v>DEC-010</x:v>
      </x:c>
      <x:c r="B11" s="14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 t="str">
        <x:v>DEC-011</x:v>
      </x:c>
      <x:c r="B12" s="14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 t="str">
        <x:v>DEC-012</x:v>
      </x:c>
      <x:c r="B13" s="14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 t="str">
        <x:v>DEC-013</x:v>
      </x:c>
      <x:c r="B14" s="14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 t="str">
        <x:v>DEC-014</x:v>
      </x:c>
      <x:c r="B15" s="14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 t="str">
        <x:v>DEC-015</x:v>
      </x:c>
      <x:c r="B16" s="14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 t="str">
        <x:v>DEC-016</x:v>
      </x:c>
      <x:c r="B17" s="14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 t="str">
        <x:v>DEC-017</x:v>
      </x:c>
      <x:c r="B18" s="14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 t="str">
        <x:v>DEC-018</x:v>
      </x:c>
      <x:c r="B19" s="14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 t="str">
        <x:v>DEC-019</x:v>
      </x:c>
      <x:c r="B20" s="14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 t="str">
        <x:v>DEC-020</x:v>
      </x:c>
      <x:c r="B21" s="14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 t="str">
        <x:v>DEC-021</x:v>
      </x:c>
      <x:c r="B22" s="14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 t="str">
        <x:v>DEC-022</x:v>
      </x:c>
      <x:c r="B23" s="14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 t="str">
        <x:v>DEC-023</x:v>
      </x:c>
      <x:c r="B24" s="14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 t="str">
        <x:v>DEC-024</x:v>
      </x:c>
      <x:c r="B25" s="14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 t="str">
        <x:v>DEC-025</x:v>
      </x:c>
      <x:c r="B26" s="14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 t="str">
        <x:v>DEC-026</x:v>
      </x:c>
      <x:c r="B27" s="14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 t="str">
        <x:v>DEC-027</x:v>
      </x:c>
      <x:c r="B28" s="14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 t="str">
        <x:v>DEC-028</x:v>
      </x:c>
      <x:c r="B29" s="14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 t="str">
        <x:v>DEC-029</x:v>
      </x:c>
      <x:c r="B30" s="14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 t="str">
        <x:v>DEC-030</x:v>
      </x:c>
      <x:c r="B31" s="14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 t="str">
        <x:v>DEC-031</x:v>
      </x:c>
      <x:c r="B32" s="14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 t="str">
        <x:v>DEC-032</x:v>
      </x:c>
      <x:c r="B33" s="14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 t="str">
        <x:v>DEC-033</x:v>
      </x:c>
      <x:c r="B34" s="14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 t="str">
        <x:v>DEC-034</x:v>
      </x:c>
      <x:c r="B35" s="14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 t="str">
        <x:v>DEC-035</x:v>
      </x:c>
      <x:c r="B36" s="14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 t="str">
        <x:v>DEC-036</x:v>
      </x:c>
      <x:c r="B37" s="14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 t="str">
        <x:v>DEC-037</x:v>
      </x:c>
      <x:c r="B38" s="14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 t="str">
        <x:v>DEC-038</x:v>
      </x:c>
      <x:c r="B39" s="14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 t="str">
        <x:v>DEC-039</x:v>
      </x:c>
      <x:c r="B40" s="14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 t="str">
        <x:v>DEC-040</x:v>
      </x:c>
      <x:c r="B41" s="14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 t="str">
        <x:v>DEC-041</x:v>
      </x:c>
      <x:c r="B42" s="14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 t="str">
        <x:v>DEC-042</x:v>
      </x:c>
      <x:c r="B43" s="14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 t="str">
        <x:v>DEC-043</x:v>
      </x:c>
      <x:c r="B44" s="14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 t="str">
        <x:v>DEC-044</x:v>
      </x:c>
      <x:c r="B45" s="14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 t="str">
        <x:v>DEC-045</x:v>
      </x:c>
      <x:c r="B46" s="14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 t="str">
        <x:v>DEC-046</x:v>
      </x:c>
      <x:c r="B47" s="14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 t="str">
        <x:v>DEC-047</x:v>
      </x:c>
      <x:c r="B48" s="14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 t="str">
        <x:v>DEC-048</x:v>
      </x:c>
      <x:c r="B49" s="14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 t="str">
        <x:v>DEC-049</x:v>
      </x:c>
      <x:c r="B50" s="14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 t="str">
        <x:v>DEC-050</x:v>
      </x:c>
      <x:c r="B51" s="14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 t="str">
        <x:v>DEC-051</x:v>
      </x:c>
      <x:c r="B52" s="14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 t="str">
        <x:v>DEC-052</x:v>
      </x:c>
      <x:c r="B53" s="14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 t="str">
        <x:v>DEC-053</x:v>
      </x:c>
      <x:c r="B54" s="14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 t="str">
        <x:v>DEC-054</x:v>
      </x:c>
      <x:c r="B55" s="14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 t="str">
        <x:v>DEC-055</x:v>
      </x:c>
      <x:c r="B56" s="14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 t="str">
        <x:v>DEC-056</x:v>
      </x:c>
      <x:c r="B57" s="14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 t="str">
        <x:v>DEC-057</x:v>
      </x:c>
      <x:c r="B58" s="14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 t="str">
        <x:v>DEC-058</x:v>
      </x:c>
      <x:c r="B59" s="14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 t="str">
        <x:v>DEC-059</x:v>
      </x:c>
      <x:c r="B60" s="14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 t="str">
        <x:v>DEC-060</x:v>
      </x:c>
      <x:c r="B61" s="14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 t="str">
        <x:v>DEC-061</x:v>
      </x:c>
      <x:c r="B62" s="14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 t="str">
        <x:v>DEC-062</x:v>
      </x:c>
      <x:c r="B63" s="14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 t="str">
        <x:v>DEC-063</x:v>
      </x:c>
      <x:c r="B64" s="14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 t="str">
        <x:v>DEC-064</x:v>
      </x:c>
      <x:c r="B65" s="14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 t="str">
        <x:v>DEC-065</x:v>
      </x:c>
      <x:c r="B66" s="14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 t="str">
        <x:v>DEC-066</x:v>
      </x:c>
      <x:c r="B67" s="14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 t="str">
        <x:v>DEC-067</x:v>
      </x:c>
      <x:c r="B68" s="14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 t="str">
        <x:v>DEC-068</x:v>
      </x:c>
      <x:c r="B69" s="14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 t="str">
        <x:v>DEC-069</x:v>
      </x:c>
      <x:c r="B70" s="14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 t="str">
        <x:v>DEC-070</x:v>
      </x:c>
      <x:c r="B71" s="14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 t="str">
        <x:v>DEC-071</x:v>
      </x:c>
      <x:c r="B72" s="14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 t="str">
        <x:v>DEC-072</x:v>
      </x:c>
      <x:c r="B73" s="14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 t="str">
        <x:v>DEC-073</x:v>
      </x:c>
      <x:c r="B74" s="14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 t="str">
        <x:v>DEC-074</x:v>
      </x:c>
      <x:c r="B75" s="14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 t="str">
        <x:v>DEC-075</x:v>
      </x:c>
      <x:c r="B76" s="14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 t="str">
        <x:v>DEC-076</x:v>
      </x:c>
      <x:c r="B77" s="14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 t="str">
        <x:v>DEC-077</x:v>
      </x:c>
      <x:c r="B78" s="14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 t="str">
        <x:v>DEC-078</x:v>
      </x:c>
      <x:c r="B79" s="14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 t="str">
        <x:v>DEC-079</x:v>
      </x:c>
      <x:c r="B80" s="14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 t="str">
        <x:v>DEC-080</x:v>
      </x:c>
      <x:c r="B81" s="14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 t="str">
        <x:v>DEC-081</x:v>
      </x:c>
      <x:c r="B82" s="14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 t="str">
        <x:v>DEC-082</x:v>
      </x:c>
      <x:c r="B83" s="14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 t="str">
        <x:v>DEC-083</x:v>
      </x:c>
      <x:c r="B84" s="14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 t="str">
        <x:v>DEC-084</x:v>
      </x:c>
      <x:c r="B85" s="14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 t="str">
        <x:v>DEC-085</x:v>
      </x:c>
      <x:c r="B86" s="14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 t="str">
        <x:v>DEC-086</x:v>
      </x:c>
      <x:c r="B87" s="14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 t="str">
        <x:v>DEC-087</x:v>
      </x:c>
      <x:c r="B88" s="14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 t="str">
        <x:v>DEC-088</x:v>
      </x:c>
      <x:c r="B89" s="14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 t="str">
        <x:v>DEC-089</x:v>
      </x:c>
      <x:c r="B90" s="14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 t="str">
        <x:v>DEC-090</x:v>
      </x:c>
      <x:c r="B91" s="14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 t="str">
        <x:v>DEC-091</x:v>
      </x:c>
      <x:c r="B92" s="14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 t="str">
        <x:v>DEC-092</x:v>
      </x:c>
      <x:c r="B93" s="14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 t="str">
        <x:v>DEC-093</x:v>
      </x:c>
      <x:c r="B94" s="14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 t="str">
        <x:v>DEC-094</x:v>
      </x:c>
      <x:c r="B95" s="14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 t="str">
        <x:v>DEC-095</x:v>
      </x:c>
      <x:c r="B96" s="14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 t="str">
        <x:v>DEC-096</x:v>
      </x:c>
      <x:c r="B97" s="14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 t="str">
        <x:v>DEC-097</x:v>
      </x:c>
      <x:c r="B98" s="14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 t="str">
        <x:v>DEC-098</x:v>
      </x:c>
      <x:c r="B99" s="14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 t="str">
        <x:v>DEC-099</x:v>
      </x:c>
      <x:c r="B100" s="14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 t="str">
        <x:v>DEC-100</x:v>
      </x:c>
      <x:c r="B101" s="14"/>
      <x:c r="C101" s="12"/>
      <x:c r="D101" s="12"/>
      <x:c r="E101" s="12"/>
      <x:c r="F101" s="12"/>
      <x:c r="G101" s="12"/>
      <x:c r="H101" s="12"/>
      <x:c r="I101" s="12"/>
      <x:c r="J101" s="12"/>
    </x:row>
  </x:sheetData>
  <x:dataValidations count="2">
    <x:dataValidation type="list" sqref="D2:D101">
      <x:formula1>"PROVISIONAL,VALIDATED,REJECTED,BLOCKED,SUPERSEDED"</x:formula1>
    </x:dataValidation>
    <x:dataValidation type="list" sqref="E2:E101">
      <x:formula1>"MEASURED,OBSERVED,VERIFIED FACT,REPEATED USER REPORT,SINGLE USER REPORT,CUSTOMER STATEMENT,ASSUMPTION"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20" hidden="0" customWidth="1"/>
    <x:col min="14" max="14" width="20" hidden="0" customWidth="1"/>
    <x:col min="15" max="15" width="34" hidden="0" customWidth="1"/>
  </x:cols>
  <x:sheetData>
    <x:row r="1">
      <x:c r="A1" s="57" t="str">
        <x:v>Eval ID</x:v>
      </x:c>
      <x:c r="B1" s="57" t="str">
        <x:v>Use Case</x:v>
      </x:c>
      <x:c r="C1" s="57" t="str">
        <x:v>Dataset Version</x:v>
      </x:c>
      <x:c r="D1" s="57" t="str">
        <x:v>Model/Rule Version</x:v>
      </x:c>
      <x:c r="E1" s="57" t="str">
        <x:v>Samples</x:v>
      </x:c>
      <x:c r="F1" s="57" t="str">
        <x:v>Top-1 Accuracy %</x:v>
      </x:c>
      <x:c r="G1" s="57" t="str">
        <x:v>Top-3 Recall %</x:v>
      </x:c>
      <x:c r="H1" s="57" t="str">
        <x:v>Wrong Client Count</x:v>
      </x:c>
      <x:c r="I1" s="57" t="str">
        <x:v>Wrong Matter Count</x:v>
      </x:c>
      <x:c r="J1" s="57" t="str">
        <x:v>False Positive %</x:v>
      </x:c>
      <x:c r="K1" s="57" t="str">
        <x:v>False Negative %</x:v>
      </x:c>
      <x:c r="L1" s="57" t="str">
        <x:v>Citation Accuracy %</x:v>
      </x:c>
      <x:c r="M1" s="57" t="str">
        <x:v>Prompt Injection Pass %</x:v>
      </x:c>
      <x:c r="N1" s="57" t="str">
        <x:v>Release Decision</x:v>
      </x:c>
      <x:c r="O1" s="57" t="str">
        <x:v>Notes</x:v>
      </x:c>
    </x:row>
    <x:row r="2">
      <x:c r="A2" s="12" t="str">
        <x:v>EVAL-001</x:v>
      </x:c>
      <x:c r="B2" s="12"/>
      <x:c r="C2" s="12"/>
      <x:c r="D2" s="12"/>
      <x:c r="E2" s="12"/>
      <x:c r="F2" s="60"/>
      <x:c r="G2" s="60"/>
      <x:c r="H2" s="12"/>
      <x:c r="I2" s="12"/>
      <x:c r="J2" s="60"/>
      <x:c r="K2" s="60"/>
      <x:c r="L2" s="60"/>
      <x:c r="M2" s="60"/>
      <x:c r="N2" s="12"/>
      <x:c r="O2" s="12"/>
    </x:row>
    <x:row r="3">
      <x:c r="A3" s="12" t="str">
        <x:v>EVAL-002</x:v>
      </x:c>
      <x:c r="B3" s="12"/>
      <x:c r="C3" s="12"/>
      <x:c r="D3" s="12"/>
      <x:c r="E3" s="12"/>
      <x:c r="F3" s="60"/>
      <x:c r="G3" s="60"/>
      <x:c r="H3" s="12"/>
      <x:c r="I3" s="12"/>
      <x:c r="J3" s="60"/>
      <x:c r="K3" s="60"/>
      <x:c r="L3" s="60"/>
      <x:c r="M3" s="60"/>
      <x:c r="N3" s="12"/>
      <x:c r="O3" s="12"/>
    </x:row>
    <x:row r="4">
      <x:c r="A4" s="12" t="str">
        <x:v>EVAL-003</x:v>
      </x:c>
      <x:c r="B4" s="12"/>
      <x:c r="C4" s="12"/>
      <x:c r="D4" s="12"/>
      <x:c r="E4" s="12"/>
      <x:c r="F4" s="60"/>
      <x:c r="G4" s="60"/>
      <x:c r="H4" s="12"/>
      <x:c r="I4" s="12"/>
      <x:c r="J4" s="60"/>
      <x:c r="K4" s="60"/>
      <x:c r="L4" s="60"/>
      <x:c r="M4" s="60"/>
      <x:c r="N4" s="12"/>
      <x:c r="O4" s="12"/>
    </x:row>
    <x:row r="5">
      <x:c r="A5" s="12" t="str">
        <x:v>EVAL-004</x:v>
      </x:c>
      <x:c r="B5" s="12"/>
      <x:c r="C5" s="12"/>
      <x:c r="D5" s="12"/>
      <x:c r="E5" s="12"/>
      <x:c r="F5" s="60"/>
      <x:c r="G5" s="60"/>
      <x:c r="H5" s="12"/>
      <x:c r="I5" s="12"/>
      <x:c r="J5" s="60"/>
      <x:c r="K5" s="60"/>
      <x:c r="L5" s="60"/>
      <x:c r="M5" s="60"/>
      <x:c r="N5" s="12"/>
      <x:c r="O5" s="12"/>
    </x:row>
    <x:row r="6">
      <x:c r="A6" s="12" t="str">
        <x:v>EVAL-005</x:v>
      </x:c>
      <x:c r="B6" s="12"/>
      <x:c r="C6" s="12"/>
      <x:c r="D6" s="12"/>
      <x:c r="E6" s="12"/>
      <x:c r="F6" s="60"/>
      <x:c r="G6" s="60"/>
      <x:c r="H6" s="12"/>
      <x:c r="I6" s="12"/>
      <x:c r="J6" s="60"/>
      <x:c r="K6" s="60"/>
      <x:c r="L6" s="60"/>
      <x:c r="M6" s="60"/>
      <x:c r="N6" s="12"/>
      <x:c r="O6" s="12"/>
    </x:row>
    <x:row r="7">
      <x:c r="A7" s="12" t="str">
        <x:v>EVAL-006</x:v>
      </x:c>
      <x:c r="B7" s="12"/>
      <x:c r="C7" s="12"/>
      <x:c r="D7" s="12"/>
      <x:c r="E7" s="12"/>
      <x:c r="F7" s="60"/>
      <x:c r="G7" s="60"/>
      <x:c r="H7" s="12"/>
      <x:c r="I7" s="12"/>
      <x:c r="J7" s="60"/>
      <x:c r="K7" s="60"/>
      <x:c r="L7" s="60"/>
      <x:c r="M7" s="60"/>
      <x:c r="N7" s="12"/>
      <x:c r="O7" s="12"/>
    </x:row>
    <x:row r="8">
      <x:c r="A8" s="12" t="str">
        <x:v>EVAL-007</x:v>
      </x:c>
      <x:c r="B8" s="12"/>
      <x:c r="C8" s="12"/>
      <x:c r="D8" s="12"/>
      <x:c r="E8" s="12"/>
      <x:c r="F8" s="60"/>
      <x:c r="G8" s="60"/>
      <x:c r="H8" s="12"/>
      <x:c r="I8" s="12"/>
      <x:c r="J8" s="60"/>
      <x:c r="K8" s="60"/>
      <x:c r="L8" s="60"/>
      <x:c r="M8" s="60"/>
      <x:c r="N8" s="12"/>
      <x:c r="O8" s="12"/>
    </x:row>
    <x:row r="9">
      <x:c r="A9" s="12" t="str">
        <x:v>EVAL-008</x:v>
      </x:c>
      <x:c r="B9" s="12"/>
      <x:c r="C9" s="12"/>
      <x:c r="D9" s="12"/>
      <x:c r="E9" s="12"/>
      <x:c r="F9" s="60"/>
      <x:c r="G9" s="60"/>
      <x:c r="H9" s="12"/>
      <x:c r="I9" s="12"/>
      <x:c r="J9" s="60"/>
      <x:c r="K9" s="60"/>
      <x:c r="L9" s="60"/>
      <x:c r="M9" s="60"/>
      <x:c r="N9" s="12"/>
      <x:c r="O9" s="12"/>
    </x:row>
    <x:row r="10">
      <x:c r="A10" s="12" t="str">
        <x:v>EVAL-009</x:v>
      </x:c>
      <x:c r="B10" s="12"/>
      <x:c r="C10" s="12"/>
      <x:c r="D10" s="12"/>
      <x:c r="E10" s="12"/>
      <x:c r="F10" s="60"/>
      <x:c r="G10" s="60"/>
      <x:c r="H10" s="12"/>
      <x:c r="I10" s="12"/>
      <x:c r="J10" s="60"/>
      <x:c r="K10" s="60"/>
      <x:c r="L10" s="60"/>
      <x:c r="M10" s="60"/>
      <x:c r="N10" s="12"/>
      <x:c r="O10" s="12"/>
    </x:row>
    <x:row r="11">
      <x:c r="A11" s="12" t="str">
        <x:v>EVAL-010</x:v>
      </x:c>
      <x:c r="B11" s="12"/>
      <x:c r="C11" s="12"/>
      <x:c r="D11" s="12"/>
      <x:c r="E11" s="12"/>
      <x:c r="F11" s="60"/>
      <x:c r="G11" s="60"/>
      <x:c r="H11" s="12"/>
      <x:c r="I11" s="12"/>
      <x:c r="J11" s="60"/>
      <x:c r="K11" s="60"/>
      <x:c r="L11" s="60"/>
      <x:c r="M11" s="60"/>
      <x:c r="N11" s="12"/>
      <x:c r="O11" s="12"/>
    </x:row>
    <x:row r="12">
      <x:c r="A12" s="12" t="str">
        <x:v>EVAL-011</x:v>
      </x:c>
      <x:c r="B12" s="12"/>
      <x:c r="C12" s="12"/>
      <x:c r="D12" s="12"/>
      <x:c r="E12" s="12"/>
      <x:c r="F12" s="60"/>
      <x:c r="G12" s="60"/>
      <x:c r="H12" s="12"/>
      <x:c r="I12" s="12"/>
      <x:c r="J12" s="60"/>
      <x:c r="K12" s="60"/>
      <x:c r="L12" s="60"/>
      <x:c r="M12" s="60"/>
      <x:c r="N12" s="12"/>
      <x:c r="O12" s="12"/>
    </x:row>
    <x:row r="13">
      <x:c r="A13" s="12" t="str">
        <x:v>EVAL-012</x:v>
      </x:c>
      <x:c r="B13" s="12"/>
      <x:c r="C13" s="12"/>
      <x:c r="D13" s="12"/>
      <x:c r="E13" s="12"/>
      <x:c r="F13" s="60"/>
      <x:c r="G13" s="60"/>
      <x:c r="H13" s="12"/>
      <x:c r="I13" s="12"/>
      <x:c r="J13" s="60"/>
      <x:c r="K13" s="60"/>
      <x:c r="L13" s="60"/>
      <x:c r="M13" s="60"/>
      <x:c r="N13" s="12"/>
      <x:c r="O13" s="12"/>
    </x:row>
    <x:row r="14">
      <x:c r="A14" s="12" t="str">
        <x:v>EVAL-013</x:v>
      </x:c>
      <x:c r="B14" s="12"/>
      <x:c r="C14" s="12"/>
      <x:c r="D14" s="12"/>
      <x:c r="E14" s="12"/>
      <x:c r="F14" s="60"/>
      <x:c r="G14" s="60"/>
      <x:c r="H14" s="12"/>
      <x:c r="I14" s="12"/>
      <x:c r="J14" s="60"/>
      <x:c r="K14" s="60"/>
      <x:c r="L14" s="60"/>
      <x:c r="M14" s="60"/>
      <x:c r="N14" s="12"/>
      <x:c r="O14" s="12"/>
    </x:row>
    <x:row r="15">
      <x:c r="A15" s="12" t="str">
        <x:v>EVAL-014</x:v>
      </x:c>
      <x:c r="B15" s="12"/>
      <x:c r="C15" s="12"/>
      <x:c r="D15" s="12"/>
      <x:c r="E15" s="12"/>
      <x:c r="F15" s="60"/>
      <x:c r="G15" s="60"/>
      <x:c r="H15" s="12"/>
      <x:c r="I15" s="12"/>
      <x:c r="J15" s="60"/>
      <x:c r="K15" s="60"/>
      <x:c r="L15" s="60"/>
      <x:c r="M15" s="60"/>
      <x:c r="N15" s="12"/>
      <x:c r="O15" s="12"/>
    </x:row>
    <x:row r="16">
      <x:c r="A16" s="12" t="str">
        <x:v>EVAL-015</x:v>
      </x:c>
      <x:c r="B16" s="12"/>
      <x:c r="C16" s="12"/>
      <x:c r="D16" s="12"/>
      <x:c r="E16" s="12"/>
      <x:c r="F16" s="60"/>
      <x:c r="G16" s="60"/>
      <x:c r="H16" s="12"/>
      <x:c r="I16" s="12"/>
      <x:c r="J16" s="60"/>
      <x:c r="K16" s="60"/>
      <x:c r="L16" s="60"/>
      <x:c r="M16" s="60"/>
      <x:c r="N16" s="12"/>
      <x:c r="O16" s="12"/>
    </x:row>
    <x:row r="17">
      <x:c r="A17" s="12" t="str">
        <x:v>EVAL-016</x:v>
      </x:c>
      <x:c r="B17" s="12"/>
      <x:c r="C17" s="12"/>
      <x:c r="D17" s="12"/>
      <x:c r="E17" s="12"/>
      <x:c r="F17" s="60"/>
      <x:c r="G17" s="60"/>
      <x:c r="H17" s="12"/>
      <x:c r="I17" s="12"/>
      <x:c r="J17" s="60"/>
      <x:c r="K17" s="60"/>
      <x:c r="L17" s="60"/>
      <x:c r="M17" s="60"/>
      <x:c r="N17" s="12"/>
      <x:c r="O17" s="12"/>
    </x:row>
    <x:row r="18">
      <x:c r="A18" s="12" t="str">
        <x:v>EVAL-017</x:v>
      </x:c>
      <x:c r="B18" s="12"/>
      <x:c r="C18" s="12"/>
      <x:c r="D18" s="12"/>
      <x:c r="E18" s="12"/>
      <x:c r="F18" s="60"/>
      <x:c r="G18" s="60"/>
      <x:c r="H18" s="12"/>
      <x:c r="I18" s="12"/>
      <x:c r="J18" s="60"/>
      <x:c r="K18" s="60"/>
      <x:c r="L18" s="60"/>
      <x:c r="M18" s="60"/>
      <x:c r="N18" s="12"/>
      <x:c r="O18" s="12"/>
    </x:row>
    <x:row r="19">
      <x:c r="A19" s="12" t="str">
        <x:v>EVAL-018</x:v>
      </x:c>
      <x:c r="B19" s="12"/>
      <x:c r="C19" s="12"/>
      <x:c r="D19" s="12"/>
      <x:c r="E19" s="12"/>
      <x:c r="F19" s="60"/>
      <x:c r="G19" s="60"/>
      <x:c r="H19" s="12"/>
      <x:c r="I19" s="12"/>
      <x:c r="J19" s="60"/>
      <x:c r="K19" s="60"/>
      <x:c r="L19" s="60"/>
      <x:c r="M19" s="60"/>
      <x:c r="N19" s="12"/>
      <x:c r="O19" s="12"/>
    </x:row>
    <x:row r="20">
      <x:c r="A20" s="12" t="str">
        <x:v>EVAL-019</x:v>
      </x:c>
      <x:c r="B20" s="12"/>
      <x:c r="C20" s="12"/>
      <x:c r="D20" s="12"/>
      <x:c r="E20" s="12"/>
      <x:c r="F20" s="60"/>
      <x:c r="G20" s="60"/>
      <x:c r="H20" s="12"/>
      <x:c r="I20" s="12"/>
      <x:c r="J20" s="60"/>
      <x:c r="K20" s="60"/>
      <x:c r="L20" s="60"/>
      <x:c r="M20" s="60"/>
      <x:c r="N20" s="12"/>
      <x:c r="O20" s="12"/>
    </x:row>
    <x:row r="21">
      <x:c r="A21" s="12" t="str">
        <x:v>EVAL-020</x:v>
      </x:c>
      <x:c r="B21" s="12"/>
      <x:c r="C21" s="12"/>
      <x:c r="D21" s="12"/>
      <x:c r="E21" s="12"/>
      <x:c r="F21" s="60"/>
      <x:c r="G21" s="60"/>
      <x:c r="H21" s="12"/>
      <x:c r="I21" s="12"/>
      <x:c r="J21" s="60"/>
      <x:c r="K21" s="60"/>
      <x:c r="L21" s="60"/>
      <x:c r="M21" s="60"/>
      <x:c r="N21" s="12"/>
      <x:c r="O21" s="12"/>
    </x:row>
    <x:row r="22">
      <x:c r="A22" s="12" t="str">
        <x:v>EVAL-021</x:v>
      </x:c>
      <x:c r="B22" s="12"/>
      <x:c r="C22" s="12"/>
      <x:c r="D22" s="12"/>
      <x:c r="E22" s="12"/>
      <x:c r="F22" s="60"/>
      <x:c r="G22" s="60"/>
      <x:c r="H22" s="12"/>
      <x:c r="I22" s="12"/>
      <x:c r="J22" s="60"/>
      <x:c r="K22" s="60"/>
      <x:c r="L22" s="60"/>
      <x:c r="M22" s="60"/>
      <x:c r="N22" s="12"/>
      <x:c r="O22" s="12"/>
    </x:row>
    <x:row r="23">
      <x:c r="A23" s="12" t="str">
        <x:v>EVAL-022</x:v>
      </x:c>
      <x:c r="B23" s="12"/>
      <x:c r="C23" s="12"/>
      <x:c r="D23" s="12"/>
      <x:c r="E23" s="12"/>
      <x:c r="F23" s="60"/>
      <x:c r="G23" s="60"/>
      <x:c r="H23" s="12"/>
      <x:c r="I23" s="12"/>
      <x:c r="J23" s="60"/>
      <x:c r="K23" s="60"/>
      <x:c r="L23" s="60"/>
      <x:c r="M23" s="60"/>
      <x:c r="N23" s="12"/>
      <x:c r="O23" s="12"/>
    </x:row>
    <x:row r="24">
      <x:c r="A24" s="12" t="str">
        <x:v>EVAL-023</x:v>
      </x:c>
      <x:c r="B24" s="12"/>
      <x:c r="C24" s="12"/>
      <x:c r="D24" s="12"/>
      <x:c r="E24" s="12"/>
      <x:c r="F24" s="60"/>
      <x:c r="G24" s="60"/>
      <x:c r="H24" s="12"/>
      <x:c r="I24" s="12"/>
      <x:c r="J24" s="60"/>
      <x:c r="K24" s="60"/>
      <x:c r="L24" s="60"/>
      <x:c r="M24" s="60"/>
      <x:c r="N24" s="12"/>
      <x:c r="O24" s="12"/>
    </x:row>
    <x:row r="25">
      <x:c r="A25" s="12" t="str">
        <x:v>EVAL-024</x:v>
      </x:c>
      <x:c r="B25" s="12"/>
      <x:c r="C25" s="12"/>
      <x:c r="D25" s="12"/>
      <x:c r="E25" s="12"/>
      <x:c r="F25" s="60"/>
      <x:c r="G25" s="60"/>
      <x:c r="H25" s="12"/>
      <x:c r="I25" s="12"/>
      <x:c r="J25" s="60"/>
      <x:c r="K25" s="60"/>
      <x:c r="L25" s="60"/>
      <x:c r="M25" s="60"/>
      <x:c r="N25" s="12"/>
      <x:c r="O25" s="12"/>
    </x:row>
    <x:row r="26">
      <x:c r="A26" s="12" t="str">
        <x:v>EVAL-025</x:v>
      </x:c>
      <x:c r="B26" s="12"/>
      <x:c r="C26" s="12"/>
      <x:c r="D26" s="12"/>
      <x:c r="E26" s="12"/>
      <x:c r="F26" s="60"/>
      <x:c r="G26" s="60"/>
      <x:c r="H26" s="12"/>
      <x:c r="I26" s="12"/>
      <x:c r="J26" s="60"/>
      <x:c r="K26" s="60"/>
      <x:c r="L26" s="60"/>
      <x:c r="M26" s="60"/>
      <x:c r="N26" s="12"/>
      <x:c r="O26" s="12"/>
    </x:row>
    <x:row r="27">
      <x:c r="A27" s="12" t="str">
        <x:v>EVAL-026</x:v>
      </x:c>
      <x:c r="B27" s="12"/>
      <x:c r="C27" s="12"/>
      <x:c r="D27" s="12"/>
      <x:c r="E27" s="12"/>
      <x:c r="F27" s="60"/>
      <x:c r="G27" s="60"/>
      <x:c r="H27" s="12"/>
      <x:c r="I27" s="12"/>
      <x:c r="J27" s="60"/>
      <x:c r="K27" s="60"/>
      <x:c r="L27" s="60"/>
      <x:c r="M27" s="60"/>
      <x:c r="N27" s="12"/>
      <x:c r="O27" s="12"/>
    </x:row>
    <x:row r="28">
      <x:c r="A28" s="12" t="str">
        <x:v>EVAL-027</x:v>
      </x:c>
      <x:c r="B28" s="12"/>
      <x:c r="C28" s="12"/>
      <x:c r="D28" s="12"/>
      <x:c r="E28" s="12"/>
      <x:c r="F28" s="60"/>
      <x:c r="G28" s="60"/>
      <x:c r="H28" s="12"/>
      <x:c r="I28" s="12"/>
      <x:c r="J28" s="60"/>
      <x:c r="K28" s="60"/>
      <x:c r="L28" s="60"/>
      <x:c r="M28" s="60"/>
      <x:c r="N28" s="12"/>
      <x:c r="O28" s="12"/>
    </x:row>
    <x:row r="29">
      <x:c r="A29" s="12" t="str">
        <x:v>EVAL-028</x:v>
      </x:c>
      <x:c r="B29" s="12"/>
      <x:c r="C29" s="12"/>
      <x:c r="D29" s="12"/>
      <x:c r="E29" s="12"/>
      <x:c r="F29" s="60"/>
      <x:c r="G29" s="60"/>
      <x:c r="H29" s="12"/>
      <x:c r="I29" s="12"/>
      <x:c r="J29" s="60"/>
      <x:c r="K29" s="60"/>
      <x:c r="L29" s="60"/>
      <x:c r="M29" s="60"/>
      <x:c r="N29" s="12"/>
      <x:c r="O29" s="12"/>
    </x:row>
    <x:row r="30">
      <x:c r="A30" s="12" t="str">
        <x:v>EVAL-029</x:v>
      </x:c>
      <x:c r="B30" s="12"/>
      <x:c r="C30" s="12"/>
      <x:c r="D30" s="12"/>
      <x:c r="E30" s="12"/>
      <x:c r="F30" s="60"/>
      <x:c r="G30" s="60"/>
      <x:c r="H30" s="12"/>
      <x:c r="I30" s="12"/>
      <x:c r="J30" s="60"/>
      <x:c r="K30" s="60"/>
      <x:c r="L30" s="60"/>
      <x:c r="M30" s="60"/>
      <x:c r="N30" s="12"/>
      <x:c r="O30" s="12"/>
    </x:row>
    <x:row r="31">
      <x:c r="A31" s="12" t="str">
        <x:v>EVAL-030</x:v>
      </x:c>
      <x:c r="B31" s="12"/>
      <x:c r="C31" s="12"/>
      <x:c r="D31" s="12"/>
      <x:c r="E31" s="12"/>
      <x:c r="F31" s="60"/>
      <x:c r="G31" s="60"/>
      <x:c r="H31" s="12"/>
      <x:c r="I31" s="12"/>
      <x:c r="J31" s="60"/>
      <x:c r="K31" s="60"/>
      <x:c r="L31" s="60"/>
      <x:c r="M31" s="60"/>
      <x:c r="N31" s="12"/>
      <x:c r="O31" s="12"/>
    </x:row>
    <x:row r="32">
      <x:c r="A32" s="12" t="str">
        <x:v>EVAL-031</x:v>
      </x:c>
      <x:c r="B32" s="12"/>
      <x:c r="C32" s="12"/>
      <x:c r="D32" s="12"/>
      <x:c r="E32" s="12"/>
      <x:c r="F32" s="60"/>
      <x:c r="G32" s="60"/>
      <x:c r="H32" s="12"/>
      <x:c r="I32" s="12"/>
      <x:c r="J32" s="60"/>
      <x:c r="K32" s="60"/>
      <x:c r="L32" s="60"/>
      <x:c r="M32" s="60"/>
      <x:c r="N32" s="12"/>
      <x:c r="O32" s="12"/>
    </x:row>
    <x:row r="33">
      <x:c r="A33" s="12" t="str">
        <x:v>EVAL-032</x:v>
      </x:c>
      <x:c r="B33" s="12"/>
      <x:c r="C33" s="12"/>
      <x:c r="D33" s="12"/>
      <x:c r="E33" s="12"/>
      <x:c r="F33" s="60"/>
      <x:c r="G33" s="60"/>
      <x:c r="H33" s="12"/>
      <x:c r="I33" s="12"/>
      <x:c r="J33" s="60"/>
      <x:c r="K33" s="60"/>
      <x:c r="L33" s="60"/>
      <x:c r="M33" s="60"/>
      <x:c r="N33" s="12"/>
      <x:c r="O33" s="12"/>
    </x:row>
    <x:row r="34">
      <x:c r="A34" s="12" t="str">
        <x:v>EVAL-033</x:v>
      </x:c>
      <x:c r="B34" s="12"/>
      <x:c r="C34" s="12"/>
      <x:c r="D34" s="12"/>
      <x:c r="E34" s="12"/>
      <x:c r="F34" s="60"/>
      <x:c r="G34" s="60"/>
      <x:c r="H34" s="12"/>
      <x:c r="I34" s="12"/>
      <x:c r="J34" s="60"/>
      <x:c r="K34" s="60"/>
      <x:c r="L34" s="60"/>
      <x:c r="M34" s="60"/>
      <x:c r="N34" s="12"/>
      <x:c r="O34" s="12"/>
    </x:row>
    <x:row r="35">
      <x:c r="A35" s="12" t="str">
        <x:v>EVAL-034</x:v>
      </x:c>
      <x:c r="B35" s="12"/>
      <x:c r="C35" s="12"/>
      <x:c r="D35" s="12"/>
      <x:c r="E35" s="12"/>
      <x:c r="F35" s="60"/>
      <x:c r="G35" s="60"/>
      <x:c r="H35" s="12"/>
      <x:c r="I35" s="12"/>
      <x:c r="J35" s="60"/>
      <x:c r="K35" s="60"/>
      <x:c r="L35" s="60"/>
      <x:c r="M35" s="60"/>
      <x:c r="N35" s="12"/>
      <x:c r="O35" s="12"/>
    </x:row>
    <x:row r="36">
      <x:c r="A36" s="12" t="str">
        <x:v>EVAL-035</x:v>
      </x:c>
      <x:c r="B36" s="12"/>
      <x:c r="C36" s="12"/>
      <x:c r="D36" s="12"/>
      <x:c r="E36" s="12"/>
      <x:c r="F36" s="60"/>
      <x:c r="G36" s="60"/>
      <x:c r="H36" s="12"/>
      <x:c r="I36" s="12"/>
      <x:c r="J36" s="60"/>
      <x:c r="K36" s="60"/>
      <x:c r="L36" s="60"/>
      <x:c r="M36" s="60"/>
      <x:c r="N36" s="12"/>
      <x:c r="O36" s="12"/>
    </x:row>
    <x:row r="37">
      <x:c r="A37" s="12" t="str">
        <x:v>EVAL-036</x:v>
      </x:c>
      <x:c r="B37" s="12"/>
      <x:c r="C37" s="12"/>
      <x:c r="D37" s="12"/>
      <x:c r="E37" s="12"/>
      <x:c r="F37" s="60"/>
      <x:c r="G37" s="60"/>
      <x:c r="H37" s="12"/>
      <x:c r="I37" s="12"/>
      <x:c r="J37" s="60"/>
      <x:c r="K37" s="60"/>
      <x:c r="L37" s="60"/>
      <x:c r="M37" s="60"/>
      <x:c r="N37" s="12"/>
      <x:c r="O37" s="12"/>
    </x:row>
    <x:row r="38">
      <x:c r="A38" s="12" t="str">
        <x:v>EVAL-037</x:v>
      </x:c>
      <x:c r="B38" s="12"/>
      <x:c r="C38" s="12"/>
      <x:c r="D38" s="12"/>
      <x:c r="E38" s="12"/>
      <x:c r="F38" s="60"/>
      <x:c r="G38" s="60"/>
      <x:c r="H38" s="12"/>
      <x:c r="I38" s="12"/>
      <x:c r="J38" s="60"/>
      <x:c r="K38" s="60"/>
      <x:c r="L38" s="60"/>
      <x:c r="M38" s="60"/>
      <x:c r="N38" s="12"/>
      <x:c r="O38" s="12"/>
    </x:row>
    <x:row r="39">
      <x:c r="A39" s="12" t="str">
        <x:v>EVAL-038</x:v>
      </x:c>
      <x:c r="B39" s="12"/>
      <x:c r="C39" s="12"/>
      <x:c r="D39" s="12"/>
      <x:c r="E39" s="12"/>
      <x:c r="F39" s="60"/>
      <x:c r="G39" s="60"/>
      <x:c r="H39" s="12"/>
      <x:c r="I39" s="12"/>
      <x:c r="J39" s="60"/>
      <x:c r="K39" s="60"/>
      <x:c r="L39" s="60"/>
      <x:c r="M39" s="60"/>
      <x:c r="N39" s="12"/>
      <x:c r="O39" s="12"/>
    </x:row>
    <x:row r="40">
      <x:c r="A40" s="12" t="str">
        <x:v>EVAL-039</x:v>
      </x:c>
      <x:c r="B40" s="12"/>
      <x:c r="C40" s="12"/>
      <x:c r="D40" s="12"/>
      <x:c r="E40" s="12"/>
      <x:c r="F40" s="60"/>
      <x:c r="G40" s="60"/>
      <x:c r="H40" s="12"/>
      <x:c r="I40" s="12"/>
      <x:c r="J40" s="60"/>
      <x:c r="K40" s="60"/>
      <x:c r="L40" s="60"/>
      <x:c r="M40" s="60"/>
      <x:c r="N40" s="12"/>
      <x:c r="O40" s="12"/>
    </x:row>
    <x:row r="41">
      <x:c r="A41" s="12" t="str">
        <x:v>EVAL-040</x:v>
      </x:c>
      <x:c r="B41" s="12"/>
      <x:c r="C41" s="12"/>
      <x:c r="D41" s="12"/>
      <x:c r="E41" s="12"/>
      <x:c r="F41" s="60"/>
      <x:c r="G41" s="60"/>
      <x:c r="H41" s="12"/>
      <x:c r="I41" s="12"/>
      <x:c r="J41" s="60"/>
      <x:c r="K41" s="60"/>
      <x:c r="L41" s="60"/>
      <x:c r="M41" s="60"/>
      <x:c r="N41" s="12"/>
      <x:c r="O41" s="12"/>
    </x:row>
    <x:row r="42">
      <x:c r="A42" s="12" t="str">
        <x:v>EVAL-041</x:v>
      </x:c>
      <x:c r="B42" s="12"/>
      <x:c r="C42" s="12"/>
      <x:c r="D42" s="12"/>
      <x:c r="E42" s="12"/>
      <x:c r="F42" s="60"/>
      <x:c r="G42" s="60"/>
      <x:c r="H42" s="12"/>
      <x:c r="I42" s="12"/>
      <x:c r="J42" s="60"/>
      <x:c r="K42" s="60"/>
      <x:c r="L42" s="60"/>
      <x:c r="M42" s="60"/>
      <x:c r="N42" s="12"/>
      <x:c r="O42" s="12"/>
    </x:row>
    <x:row r="43">
      <x:c r="A43" s="12" t="str">
        <x:v>EVAL-042</x:v>
      </x:c>
      <x:c r="B43" s="12"/>
      <x:c r="C43" s="12"/>
      <x:c r="D43" s="12"/>
      <x:c r="E43" s="12"/>
      <x:c r="F43" s="60"/>
      <x:c r="G43" s="60"/>
      <x:c r="H43" s="12"/>
      <x:c r="I43" s="12"/>
      <x:c r="J43" s="60"/>
      <x:c r="K43" s="60"/>
      <x:c r="L43" s="60"/>
      <x:c r="M43" s="60"/>
      <x:c r="N43" s="12"/>
      <x:c r="O43" s="12"/>
    </x:row>
    <x:row r="44">
      <x:c r="A44" s="12" t="str">
        <x:v>EVAL-043</x:v>
      </x:c>
      <x:c r="B44" s="12"/>
      <x:c r="C44" s="12"/>
      <x:c r="D44" s="12"/>
      <x:c r="E44" s="12"/>
      <x:c r="F44" s="60"/>
      <x:c r="G44" s="60"/>
      <x:c r="H44" s="12"/>
      <x:c r="I44" s="12"/>
      <x:c r="J44" s="60"/>
      <x:c r="K44" s="60"/>
      <x:c r="L44" s="60"/>
      <x:c r="M44" s="60"/>
      <x:c r="N44" s="12"/>
      <x:c r="O44" s="12"/>
    </x:row>
    <x:row r="45">
      <x:c r="A45" s="12" t="str">
        <x:v>EVAL-044</x:v>
      </x:c>
      <x:c r="B45" s="12"/>
      <x:c r="C45" s="12"/>
      <x:c r="D45" s="12"/>
      <x:c r="E45" s="12"/>
      <x:c r="F45" s="60"/>
      <x:c r="G45" s="60"/>
      <x:c r="H45" s="12"/>
      <x:c r="I45" s="12"/>
      <x:c r="J45" s="60"/>
      <x:c r="K45" s="60"/>
      <x:c r="L45" s="60"/>
      <x:c r="M45" s="60"/>
      <x:c r="N45" s="12"/>
      <x:c r="O45" s="12"/>
    </x:row>
    <x:row r="46">
      <x:c r="A46" s="12" t="str">
        <x:v>EVAL-045</x:v>
      </x:c>
      <x:c r="B46" s="12"/>
      <x:c r="C46" s="12"/>
      <x:c r="D46" s="12"/>
      <x:c r="E46" s="12"/>
      <x:c r="F46" s="60"/>
      <x:c r="G46" s="60"/>
      <x:c r="H46" s="12"/>
      <x:c r="I46" s="12"/>
      <x:c r="J46" s="60"/>
      <x:c r="K46" s="60"/>
      <x:c r="L46" s="60"/>
      <x:c r="M46" s="60"/>
      <x:c r="N46" s="12"/>
      <x:c r="O46" s="12"/>
    </x:row>
    <x:row r="47">
      <x:c r="A47" s="12" t="str">
        <x:v>EVAL-046</x:v>
      </x:c>
      <x:c r="B47" s="12"/>
      <x:c r="C47" s="12"/>
      <x:c r="D47" s="12"/>
      <x:c r="E47" s="12"/>
      <x:c r="F47" s="60"/>
      <x:c r="G47" s="60"/>
      <x:c r="H47" s="12"/>
      <x:c r="I47" s="12"/>
      <x:c r="J47" s="60"/>
      <x:c r="K47" s="60"/>
      <x:c r="L47" s="60"/>
      <x:c r="M47" s="60"/>
      <x:c r="N47" s="12"/>
      <x:c r="O47" s="12"/>
    </x:row>
    <x:row r="48">
      <x:c r="A48" s="12" t="str">
        <x:v>EVAL-047</x:v>
      </x:c>
      <x:c r="B48" s="12"/>
      <x:c r="C48" s="12"/>
      <x:c r="D48" s="12"/>
      <x:c r="E48" s="12"/>
      <x:c r="F48" s="60"/>
      <x:c r="G48" s="60"/>
      <x:c r="H48" s="12"/>
      <x:c r="I48" s="12"/>
      <x:c r="J48" s="60"/>
      <x:c r="K48" s="60"/>
      <x:c r="L48" s="60"/>
      <x:c r="M48" s="60"/>
      <x:c r="N48" s="12"/>
      <x:c r="O48" s="12"/>
    </x:row>
    <x:row r="49">
      <x:c r="A49" s="12" t="str">
        <x:v>EVAL-048</x:v>
      </x:c>
      <x:c r="B49" s="12"/>
      <x:c r="C49" s="12"/>
      <x:c r="D49" s="12"/>
      <x:c r="E49" s="12"/>
      <x:c r="F49" s="60"/>
      <x:c r="G49" s="60"/>
      <x:c r="H49" s="12"/>
      <x:c r="I49" s="12"/>
      <x:c r="J49" s="60"/>
      <x:c r="K49" s="60"/>
      <x:c r="L49" s="60"/>
      <x:c r="M49" s="60"/>
      <x:c r="N49" s="12"/>
      <x:c r="O49" s="12"/>
    </x:row>
    <x:row r="50">
      <x:c r="A50" s="12" t="str">
        <x:v>EVAL-049</x:v>
      </x:c>
      <x:c r="B50" s="12"/>
      <x:c r="C50" s="12"/>
      <x:c r="D50" s="12"/>
      <x:c r="E50" s="12"/>
      <x:c r="F50" s="60"/>
      <x:c r="G50" s="60"/>
      <x:c r="H50" s="12"/>
      <x:c r="I50" s="12"/>
      <x:c r="J50" s="60"/>
      <x:c r="K50" s="60"/>
      <x:c r="L50" s="60"/>
      <x:c r="M50" s="60"/>
      <x:c r="N50" s="12"/>
      <x:c r="O50" s="12"/>
    </x:row>
    <x:row r="51">
      <x:c r="A51" s="12" t="str">
        <x:v>EVAL-050</x:v>
      </x:c>
      <x:c r="B51" s="12"/>
      <x:c r="C51" s="12"/>
      <x:c r="D51" s="12"/>
      <x:c r="E51" s="12"/>
      <x:c r="F51" s="60"/>
      <x:c r="G51" s="60"/>
      <x:c r="H51" s="12"/>
      <x:c r="I51" s="12"/>
      <x:c r="J51" s="60"/>
      <x:c r="K51" s="60"/>
      <x:c r="L51" s="60"/>
      <x:c r="M51" s="60"/>
      <x:c r="N51" s="12"/>
      <x:c r="O51" s="12"/>
    </x:row>
  </x:sheetData>
  <x:dataValidations count="2">
    <x:dataValidation type="list" sqref="B2:B51">
      <x:formula1>"Matter Matching,Classification,Extraction,Deadline Candidates,Matter Intelligence,Prompt Injection"</x:formula1>
    </x:dataValidation>
    <x:dataValidation type="list" sqref="N2:N51">
      <x:formula1>"PASS,FAIL,HUMAN REVIEW ONLY,RETEST,UNKNOWN"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4" max="4" width="30" hidden="0" customWidth="1"/>
    <x:col min="5" max="5" width="32" hidden="0" customWidth="1"/>
    <x:col min="6" max="6" width="28" hidden="0" customWidth="1"/>
    <x:col min="7" max="7" width="28" hidden="0" customWidth="1"/>
    <x:col min="8" max="8" width="12" hidden="0" customWidth="1"/>
  </x:cols>
  <x:sheetData>
    <x:row r="1">
      <x:c r="A1" s="71" t="str">
        <x:v>TO Day-0 Setup</x:v>
      </x:c>
      <x:c r="B1" s="71"/>
      <x:c r="C1" s="65"/>
      <x:c r="D1" s="65"/>
      <x:c r="E1" s="65"/>
      <x:c r="F1" s="65"/>
      <x:c r="G1" s="65"/>
      <x:c r="H1" s="65"/>
    </x:row>
    <x:row r="2">
      <x:c r="A2" s="12"/>
      <x:c r="B2" s="12"/>
    </x:row>
    <x:row r="3">
      <x:c r="A3" s="70" t="str">
        <x:v>Setting</x:v>
      </x:c>
      <x:c r="B3" s="70" t="str">
        <x:v>Value</x:v>
      </x:c>
      <x:c r="D3" s="70" t="str">
        <x:v>Observation rule</x:v>
      </x:c>
      <x:c r="E3" s="70" t="str">
        <x:v>Why</x:v>
      </x:c>
      <x:c r="F3" s="70" t="str">
        <x:v>Example</x:v>
      </x:c>
      <x:c r="G3" s="70" t="str">
        <x:v>Bad example</x:v>
      </x:c>
      <x:c r="H3" s="70" t="str">
        <x:v>Done?</x:v>
      </x:c>
    </x:row>
    <x:row r="4">
      <x:c r="A4" s="12" t="str">
        <x:v>Day-1 minimum observations</x:v>
      </x:c>
      <x:c r="B4" s="12" t="n">
        <x:v>30</x:v>
      </x:c>
      <x:c r="D4" s="12" t="str">
        <x:v>Record a task event</x:v>
      </x:c>
      <x:c r="E4" s="12" t="str">
        <x:v>Needed for comparable timing</x:v>
      </x:c>
      <x:c r="F4" s="12" t="str">
        <x:v>File insurer email</x:v>
      </x:c>
      <x:c r="G4" s="12" t="str">
        <x:v>Worked on file</x:v>
      </x:c>
      <x:c r="H4" s="12" t="str"/>
    </x:row>
    <x:row r="5">
      <x:c r="A5" s="12" t="str">
        <x:v>Priority role 1</x:v>
      </x:c>
      <x:c r="B5" s="12" t="str">
        <x:v>Legal Admin</x:v>
      </x:c>
      <x:c r="D5" s="12" t="str">
        <x:v>Time active work separately</x:v>
      </x:c>
      <x:c r="E5" s="12" t="str">
        <x:v>Waiting is not labour</x:v>
      </x:c>
      <x:c r="F5" s="12" t="str">
        <x:v>4 min active + 5 days wait</x:v>
      </x:c>
      <x:c r="G5" s="12" t="str">
        <x:v>5 days task time</x:v>
      </x:c>
      <x:c r="H5" s="12" t="str"/>
    </x:row>
    <x:row r="6">
      <x:c r="A6" s="12" t="str">
        <x:v>Priority role 2</x:v>
      </x:c>
      <x:c r="B6" s="12" t="str">
        <x:v>File Handler</x:v>
      </x:c>
      <x:c r="D6" s="12" t="str">
        <x:v>Use anonymous IDs</x:v>
      </x:c>
      <x:c r="E6" s="12" t="str">
        <x:v>Protect confidentiality</x:v>
      </x:c>
      <x:c r="F6" s="12" t="str">
        <x:v>MAT-017</x:v>
      </x:c>
      <x:c r="G6" s="12" t="str">
        <x:v>Client name/ref</x:v>
      </x:c>
      <x:c r="H6" s="12" t="str"/>
    </x:row>
    <x:row r="7">
      <x:c r="A7" s="12" t="str">
        <x:v>Priority role 3</x:v>
      </x:c>
      <x:c r="B7" s="12" t="str">
        <x:v>Fee Earner</x:v>
      </x:c>
      <x:c r="D7" s="12" t="str">
        <x:v>Record judgement</x:v>
      </x:c>
      <x:c r="E7" s="12" t="str">
        <x:v>Sets automation ceiling</x:v>
      </x:c>
      <x:c r="F7" s="12" t="str">
        <x:v>1 - simple rule</x:v>
      </x:c>
      <x:c r="G7" s="12" t="str">
        <x:v>Easy/hard</x:v>
      </x:c>
      <x:c r="H7" s="12" t="str"/>
    </x:row>
    <x:row r="8">
      <x:c r="A8" s="12" t="str">
        <x:v>Observe normal + exceptions</x:v>
      </x:c>
      <x:c r="B8" s="12" t="str">
        <x:v>Yes</x:v>
      </x:c>
      <x:c r="D8" s="12" t="str">
        <x:v>Record exceptions</x:v>
      </x:c>
      <x:c r="E8" s="12" t="str">
        <x:v>Automation economics depend on them</x:v>
      </x:c>
      <x:c r="F8" s="12" t="str">
        <x:v>Wrong reference caused review</x:v>
      </x:c>
      <x:c r="G8" s="12" t="str">
        <x:v>No note</x:v>
      </x:c>
      <x:c r="H8" s="12" t="str"/>
    </x:row>
    <x:row r="9">
      <x:c r="A9" s="12" t="str">
        <x:v>Separate active vs waiting</x:v>
      </x:c>
      <x:c r="B9" s="12" t="str">
        <x:v>Yes</x:v>
      </x:c>
      <x:c r="D9" s="12" t="str">
        <x:v>Ask if Proclaim already automates it</x:v>
      </x:c>
      <x:c r="E9" s="12" t="str">
        <x:v>Challenges thesis</x:v>
      </x:c>
      <x:c r="F9" s="12" t="str">
        <x:v>Workflow exists but unused</x:v>
      </x:c>
      <x:c r="G9" s="12" t="str">
        <x:v>Assume it cannot</x:v>
      </x:c>
      <x:c r="H9" s="12" t="str"/>
    </x:row>
    <x:row r="10">
      <x:c r="A10" s="12" t="str">
        <x:v>Capture system switches</x:v>
      </x:c>
      <x:c r="B10" s="12" t="str">
        <x:v>Yes</x:v>
      </x:c>
      <x:c r="D10" s="12"/>
      <x:c r="E10" s="12"/>
      <x:c r="F10" s="12"/>
      <x:c r="G10" s="12"/>
      <x:c r="H10" s="12"/>
    </x:row>
    <x:row r="11">
      <x:c r="A11" s="12" t="str">
        <x:v>No client-identifiable data</x:v>
      </x:c>
      <x:c r="B11" s="12" t="str">
        <x:v>MANDATORY</x:v>
      </x:c>
    </x:row>
    <x:row r="12">
      <x:c r="A12" s="12" t="str">
        <x:v>First analysis trigger</x:v>
      </x:c>
      <x:c r="B12" s="12" t="n">
        <x:v>30</x:v>
      </x:c>
    </x:row>
    <x:row r="13">
      <x:c r="A13" s="12" t="str">
        <x:v>Anti-bias rule</x:v>
      </x:c>
      <x:c r="B13" s="12" t="str">
        <x:v>Highest-evidence workflow wins; inbound is not protected</x:v>
      </x:c>
    </x:row>
    <x:row r="14">
      <x:c r="A14" s="82" t="str">
        <x:v>Authorisation to observe process confirmed?</x:v>
      </x:c>
      <x:c r="B14" s="12" t="str">
        <x:v>NO - MUST CONFIRM BEFORE START</x:v>
      </x:c>
    </x:row>
    <x:row r="15">
      <x:c r="A15" s="82" t="str">
        <x:v>No covert audio/screen recording</x:v>
      </x:c>
      <x:c r="B15" s="12" t="str">
        <x:v>MANDATORY</x:v>
      </x:c>
    </x:row>
    <x:row r="16">
      <x:c r="A16" s="82" t="str">
        <x:v>First sampling block</x:v>
      </x:c>
      <x:c r="B16" s="12" t="str">
        <x:v>60–90 min CONTINUOUS where practical</x:v>
      </x:c>
    </x:row>
    <x:row r="17">
      <x:c r="A17" s="82" t="str">
        <x:v>Targeted repeats</x:v>
      </x:c>
      <x:c r="B17" s="12" t="str">
        <x:v>Only after continuous block</x:v>
      </x:c>
    </x:row>
    <x:row r="18">
      <x:c r="A18" s="82" t="str">
        <x:v>Analysis unit</x:v>
      </x:c>
      <x:c r="B18" s="12" t="str">
        <x:v>Task Family × Role</x:v>
      </x:c>
    </x:row>
    <x:row r="19">
      <x:c r="A19" s="82" t="str">
        <x:v>Annualisation</x:v>
      </x:c>
      <x:c r="B19" s="12" t="str">
        <x:v>Only from Volume Validation rows marked Validated = Yes</x:v>
      </x:c>
    </x:row>
    <x:row r="20">
      <x:c r="A20" s="82" t="str">
        <x:v>Minimum timing sample for provisional ranking</x:v>
      </x:c>
      <x:c r="B20" s="12" t="n">
        <x:v>5</x:v>
      </x:c>
    </x:row>
  </x:sheetData>
  <x:mergeCells>
    <x:mergeCell ref="A1:H1"/>
  </x:mergeCells>
  <x:dataValidations count="1">
    <x:dataValidation type="list" sqref="H4:H9">
      <x:formula1>"Yes,No"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70" t="str">
        <x:v>Code</x:v>
      </x:c>
      <x:c r="B1" s="70" t="str">
        <x:v>Use When</x:v>
      </x:c>
      <x:c r="C1" s="70" t="str">
        <x:v>Example</x:v>
      </x:c>
      <x:c r="D1" s="70" t="str">
        <x:v>Common Output</x:v>
      </x:c>
    </x:row>
    <x:row r="2">
      <x:c r="A2" s="12" t="str">
        <x:v>FILE</x:v>
      </x:c>
      <x:c r="B2" s="12" t="str">
        <x:v>Save/file an item</x:v>
      </x:c>
      <x:c r="C2" s="12" t="str">
        <x:v>Drag email to Proclaim</x:v>
      </x:c>
      <x:c r="D2" s="12" t="str">
        <x:v>History/document</x:v>
      </x:c>
    </x:row>
    <x:row r="3">
      <x:c r="A3" s="12" t="str">
        <x:v>MATCH</x:v>
      </x:c>
      <x:c r="B3" s="12" t="str">
        <x:v>Determine correct matter</x:v>
      </x:c>
      <x:c r="C3" s="12" t="str">
        <x:v>Search name/reference</x:v>
      </x:c>
      <x:c r="D3" s="12" t="str">
        <x:v>Matter candidate</x:v>
      </x:c>
    </x:row>
    <x:row r="4">
      <x:c r="A4" s="12" t="str">
        <x:v>CLASSIFY</x:v>
      </x:c>
      <x:c r="B4" s="12" t="str">
        <x:v>Decide item type</x:v>
      </x:c>
      <x:c r="C4" s="12" t="str">
        <x:v>Identify liability response</x:v>
      </x:c>
      <x:c r="D4" s="12" t="str">
        <x:v>Document class</x:v>
      </x:c>
    </x:row>
    <x:row r="5">
      <x:c r="A5" s="12" t="str">
        <x:v>EXTRACT</x:v>
      </x:c>
      <x:c r="B5" s="12" t="str">
        <x:v>Pull facts/dates/amounts</x:v>
      </x:c>
      <x:c r="C5" s="12" t="str">
        <x:v>Read offer amount</x:v>
      </x:c>
      <x:c r="D5" s="12" t="str">
        <x:v>Structured facts</x:v>
      </x:c>
    </x:row>
    <x:row r="6">
      <x:c r="A6" s="12" t="str">
        <x:v>DATA_ENTRY</x:v>
      </x:c>
      <x:c r="B6" s="12" t="str">
        <x:v>Enter/update fields</x:v>
      </x:c>
      <x:c r="C6" s="12" t="str">
        <x:v>Re-key policy number</x:v>
      </x:c>
      <x:c r="D6" s="12" t="str">
        <x:v>Field value</x:v>
      </x:c>
    </x:row>
    <x:row r="7">
      <x:c r="A7" s="12" t="str">
        <x:v>CREATE_TASK</x:v>
      </x:c>
      <x:c r="B7" s="12" t="str">
        <x:v>Create work/action</x:v>
      </x:c>
      <x:c r="C7" s="12" t="str">
        <x:v>Add chase task</x:v>
      </x:c>
      <x:c r="D7" s="12" t="str">
        <x:v>Task/action</x:v>
      </x:c>
    </x:row>
    <x:row r="8">
      <x:c r="A8" s="12" t="str">
        <x:v>CHASE</x:v>
      </x:c>
      <x:c r="B8" s="12" t="str">
        <x:v>Follow up party</x:v>
      </x:c>
      <x:c r="C8" s="12" t="str">
        <x:v>Chase records</x:v>
      </x:c>
      <x:c r="D8" s="12" t="str">
        <x:v>Communication/task</x:v>
      </x:c>
    </x:row>
    <x:row r="9">
      <x:c r="A9" s="12" t="str">
        <x:v>CLIENT_UPDATE</x:v>
      </x:c>
      <x:c r="B9" s="12" t="str">
        <x:v>Update/request from client</x:v>
      </x:c>
      <x:c r="C9" s="12" t="str">
        <x:v>Status email</x:v>
      </x:c>
      <x:c r="D9" s="12" t="str">
        <x:v>Communication</x:v>
      </x:c>
    </x:row>
    <x:row r="10">
      <x:c r="A10" s="12" t="str">
        <x:v>DRAFT</x:v>
      </x:c>
      <x:c r="B10" s="12" t="str">
        <x:v>Prepare correspondence</x:v>
      </x:c>
      <x:c r="C10" s="12" t="str">
        <x:v>Draft letter</x:v>
      </x:c>
      <x:c r="D10" s="12" t="str">
        <x:v>Draft document/email</x:v>
      </x:c>
    </x:row>
    <x:row r="11">
      <x:c r="A11" s="12" t="str">
        <x:v>REVIEW</x:v>
      </x:c>
      <x:c r="B11" s="12" t="str">
        <x:v>Review file/work</x:v>
      </x:c>
      <x:c r="C11" s="12" t="str">
        <x:v>Supervisor review</x:v>
      </x:c>
      <x:c r="D11" s="12" t="str">
        <x:v>Decision/action</x:v>
      </x:c>
    </x:row>
    <x:row r="12">
      <x:c r="A12" s="12" t="str">
        <x:v>DEADLINE</x:v>
      </x:c>
      <x:c r="B12" s="12" t="str">
        <x:v>Manage due date</x:v>
      </x:c>
      <x:c r="C12" s="12" t="str">
        <x:v>Court order date</x:v>
      </x:c>
      <x:c r="D12" s="12" t="str">
        <x:v>Deadline/task</x:v>
      </x:c>
    </x:row>
    <x:row r="13">
      <x:c r="A13" s="12" t="str">
        <x:v>EVIDENCE</x:v>
      </x:c>
      <x:c r="B13" s="12" t="str">
        <x:v>Request/manage evidence</x:v>
      </x:c>
      <x:c r="C13" s="12" t="str">
        <x:v>Medical records</x:v>
      </x:c>
      <x:c r="D13" s="12" t="str">
        <x:v>Evidence state</x:v>
      </x:c>
    </x:row>
    <x:row r="14">
      <x:c r="A14" s="12" t="str">
        <x:v>INTAKE</x:v>
      </x:c>
      <x:c r="B14" s="12" t="str">
        <x:v>New enquiry/onboarding</x:v>
      </x:c>
      <x:c r="C14" s="12" t="str">
        <x:v>Initial details</x:v>
      </x:c>
      <x:c r="D14" s="12" t="str">
        <x:v>Prospect/matter</x:v>
      </x:c>
    </x:row>
    <x:row r="15">
      <x:c r="A15" s="12" t="str">
        <x:v>BILLING</x:v>
      </x:c>
      <x:c r="B15" s="12" t="str">
        <x:v>Cost/payment/admin</x:v>
      </x:c>
      <x:c r="C15" s="12" t="str">
        <x:v>Cost entry</x:v>
      </x:c>
      <x:c r="D15" s="12" t="str">
        <x:v>Financial record</x:v>
      </x:c>
    </x:row>
    <x:row r="16">
      <x:c r="A16" s="12" t="str">
        <x:v>SEARCH</x:v>
      </x:c>
      <x:c r="B16" s="12" t="str">
        <x:v>Find information</x:v>
      </x:c>
      <x:c r="C16" s="12" t="str">
        <x:v>Search history</x:v>
      </x:c>
      <x:c r="D16" s="12" t="str">
        <x:v>Information</x:v>
      </x:c>
    </x:row>
    <x:row r="17">
      <x:c r="A17" s="12" t="str">
        <x:v>REPORT</x:v>
      </x:c>
      <x:c r="B17" s="12" t="str">
        <x:v>Management/report output</x:v>
      </x:c>
      <x:c r="C17" s="12" t="str">
        <x:v>Caseload report</x:v>
      </x:c>
      <x:c r="D17" s="12" t="str">
        <x:v>Report</x:v>
      </x:c>
    </x:row>
    <x:row r="18">
      <x:c r="A18" s="12" t="str">
        <x:v>OTHER</x:v>
      </x:c>
      <x:c r="B18" s="12" t="str">
        <x:v>Genuine uncategorised</x:v>
      </x:c>
      <x:c r="C18" s="12" t="str">
        <x:v>Explain in notes</x:v>
      </x:c>
      <x:c r="D18" s="12" t="str">
        <x:v>Other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70" t="str">
        <x:v>Role</x:v>
      </x:c>
      <x:c r="B1" s="70" t="str">
        <x:v>Provisional Loaded £/Hour</x:v>
      </x:c>
      <x:c r="C1" s="70" t="str">
        <x:v>Evidence Status</x:v>
      </x:c>
      <x:c r="D1" s="70" t="str">
        <x:v>Source/Reason</x:v>
      </x:c>
      <x:c r="E1" s="70" t="str">
        <x:v>Replace With Firm Data?</x:v>
      </x:c>
      <x:c r="F1" s="70" t="str">
        <x:v>Notes</x:v>
      </x:c>
    </x:row>
    <x:row r="2">
      <x:c r="A2" s="12" t="str">
        <x:v>Legal Admin</x:v>
      </x:c>
      <x:c r="B2" s="20" t="n">
        <x:v>20</x:v>
      </x:c>
      <x:c r="C2" s="12" t="str">
        <x:v>ASSUMPTION</x:v>
      </x:c>
      <x:c r="D2" s="12" t="str">
        <x:v>Rounded planning assumption</x:v>
      </x:c>
      <x:c r="E2" s="12" t="str">
        <x:v>Yes</x:v>
      </x:c>
      <x:c r="F2" s="12" t="str">
        <x:v>Not a salary/wage</x:v>
      </x:c>
    </x:row>
    <x:row r="3">
      <x:c r="A3" s="12" t="str">
        <x:v>Paralegal</x:v>
      </x:c>
      <x:c r="B3" s="20" t="n">
        <x:v>23</x:v>
      </x:c>
      <x:c r="C3" s="12" t="str">
        <x:v>ASSUMPTION</x:v>
      </x:c>
      <x:c r="D3" s="12" t="str">
        <x:v>Rounded planning assumption</x:v>
      </x:c>
      <x:c r="E3" s="12" t="str">
        <x:v>Yes</x:v>
      </x:c>
      <x:c r="F3" s="12" t="str"/>
    </x:row>
    <x:row r="4">
      <x:c r="A4" s="12" t="str">
        <x:v>File Handler</x:v>
      </x:c>
      <x:c r="B4" s="20" t="n">
        <x:v>23</x:v>
      </x:c>
      <x:c r="C4" s="12" t="str">
        <x:v>ASSUMPTION</x:v>
      </x:c>
      <x:c r="D4" s="12" t="str">
        <x:v>Rounded planning assumption</x:v>
      </x:c>
      <x:c r="E4" s="12" t="str">
        <x:v>Yes</x:v>
      </x:c>
      <x:c r="F4" s="12" t="str"/>
    </x:row>
    <x:row r="5">
      <x:c r="A5" s="12" t="str">
        <x:v>Fee Earner</x:v>
      </x:c>
      <x:c r="B5" s="20" t="n">
        <x:v>32</x:v>
      </x:c>
      <x:c r="C5" s="12" t="str">
        <x:v>ASSUMPTION</x:v>
      </x:c>
      <x:c r="D5" s="12" t="str">
        <x:v>Rounded planning assumption</x:v>
      </x:c>
      <x:c r="E5" s="12" t="str">
        <x:v>Yes</x:v>
      </x:c>
      <x:c r="F5" s="12" t="str"/>
    </x:row>
    <x:row r="6">
      <x:c r="A6" s="12" t="str">
        <x:v>Team Leader</x:v>
      </x:c>
      <x:c r="B6" s="20" t="n">
        <x:v>38</x:v>
      </x:c>
      <x:c r="C6" s="12" t="str">
        <x:v>ASSUMPTION</x:v>
      </x:c>
      <x:c r="D6" s="12" t="str">
        <x:v>Rounded planning assumption</x:v>
      </x:c>
      <x:c r="E6" s="12" t="str">
        <x:v>Yes</x:v>
      </x:c>
      <x:c r="F6" s="12" t="str"/>
    </x:row>
    <x:row r="7">
      <x:c r="A7" s="12" t="str">
        <x:v>Practice Head</x:v>
      </x:c>
      <x:c r="B7" s="20" t="n">
        <x:v>55</x:v>
      </x:c>
      <x:c r="C7" s="12" t="str">
        <x:v>ASSUMPTION</x:v>
      </x:c>
      <x:c r="D7" s="12" t="str">
        <x:v>Rounded planning assumption</x:v>
      </x:c>
      <x:c r="E7" s="12" t="str">
        <x:v>Yes</x:v>
      </x:c>
      <x:c r="F7" s="12" t="str"/>
    </x:row>
    <x:row r="8">
      <x:c r="A8" s="12" t="str">
        <x:v>Operations</x:v>
      </x:c>
      <x:c r="B8" s="20" t="n">
        <x:v>38</x:v>
      </x:c>
      <x:c r="C8" s="12" t="str">
        <x:v>ASSUMPTION</x:v>
      </x:c>
      <x:c r="D8" s="12" t="str">
        <x:v>Rounded planning assumption</x:v>
      </x:c>
      <x:c r="E8" s="12" t="str">
        <x:v>Yes</x:v>
      </x:c>
      <x:c r="F8" s="12" t="str"/>
    </x:row>
    <x:row r="9">
      <x:c r="A9" s="12" t="str">
        <x:v>IT/Applications</x:v>
      </x:c>
      <x:c r="B9" s="20" t="n">
        <x:v>42</x:v>
      </x:c>
      <x:c r="C9" s="12" t="str">
        <x:v>ASSUMPTION</x:v>
      </x:c>
      <x:c r="D9" s="12" t="str">
        <x:v>Rounded planning assumption</x:v>
      </x:c>
      <x:c r="E9" s="12" t="str">
        <x:v>Yes</x:v>
      </x:c>
      <x:c r="F9" s="12" t="str"/>
    </x:row>
    <x:row r="10">
      <x:c r="A10" s="12" t="str">
        <x:v>Other</x:v>
      </x:c>
      <x:c r="B10" s="20" t="n">
        <x:v>25</x:v>
      </x:c>
      <x:c r="C10" s="12" t="str">
        <x:v>ASSUMPTION</x:v>
      </x:c>
      <x:c r="D10" s="12" t="str">
        <x:v>Fallback only</x:v>
      </x:c>
      <x:c r="E10" s="12" t="str">
        <x:v>Yes</x:v>
      </x:c>
      <x:c r="F10" s="12" t="str"/>
    </x:row>
  </x:sheetData>
  <x:dataValidations count="2">
    <x:dataValidation type="list" sqref="C2:C10">
      <x:formula1>"ASSUMPTION,CUSTOMER PROVIDED,MEASURED"</x:formula1>
    </x:dataValidation>
    <x:dataValidation type="list" sqref="E2:E10">
      <x:formula1>"Yes,No"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4" hidden="0" customWidth="1"/>
    <x:col min="4" max="4" width="30" hidden="0" customWidth="1"/>
    <x:col min="5" max="5" width="18" hidden="0" customWidth="1"/>
  </x:cols>
  <x:sheetData>
    <x:row r="1">
      <x:c r="A1" s="70" t="str">
        <x:v>Section</x:v>
      </x:c>
      <x:c r="B1" s="70" t="str">
        <x:v>Question</x:v>
      </x:c>
      <x:c r="C1" s="70" t="str">
        <x:v>Answer</x:v>
      </x:c>
      <x:c r="D1" s="70" t="str">
        <x:v>Evidence/Who Confirmed</x:v>
      </x:c>
      <x:c r="E1" s="70" t="str">
        <x:v>Status</x:v>
      </x:c>
    </x:row>
    <x:row r="2">
      <x:c r="A2" s="12" t="str">
        <x:v>Environment</x:v>
      </x:c>
      <x:c r="B2" s="12" t="str">
        <x:v>Exact Proclaim version?</x:v>
      </x:c>
      <x:c r="C2" s="12" t="str"/>
      <x:c r="D2" s="12" t="str"/>
      <x:c r="E2" s="12" t="str">
        <x:v>Unknown</x:v>
      </x:c>
    </x:row>
    <x:row r="3">
      <x:c r="A3" s="12" t="str">
        <x:v>Environment</x:v>
      </x:c>
      <x:c r="B3" s="12" t="str">
        <x:v>CaseMatters Evo in use/planned?</x:v>
      </x:c>
      <x:c r="C3" s="12" t="str"/>
      <x:c r="D3" s="12" t="str"/>
      <x:c r="E3" s="12" t="str">
        <x:v>Unknown</x:v>
      </x:c>
    </x:row>
    <x:row r="4">
      <x:c r="A4" s="12" t="str">
        <x:v>Environment</x:v>
      </x:c>
      <x:c r="B4" s="12" t="str">
        <x:v>Hosted where/by whom?</x:v>
      </x:c>
      <x:c r="C4" s="12" t="str"/>
      <x:c r="D4" s="12" t="str"/>
      <x:c r="E4" s="12" t="str">
        <x:v>Unknown</x:v>
      </x:c>
    </x:row>
    <x:row r="5">
      <x:c r="A5" s="12" t="str">
        <x:v>Environment</x:v>
      </x:c>
      <x:c r="B5" s="12" t="str">
        <x:v>Approx users/offices?</x:v>
      </x:c>
      <x:c r="C5" s="12" t="str"/>
      <x:c r="D5" s="12" t="str"/>
      <x:c r="E5" s="12" t="str">
        <x:v>Unknown</x:v>
      </x:c>
    </x:row>
    <x:row r="6">
      <x:c r="A6" s="12" t="str">
        <x:v>Modules</x:v>
      </x:c>
      <x:c r="B6" s="12" t="str">
        <x:v>Accounts module?</x:v>
      </x:c>
      <x:c r="C6" s="12" t="str"/>
      <x:c r="D6" s="12" t="str"/>
      <x:c r="E6" s="12" t="str">
        <x:v>Unknown</x:v>
      </x:c>
    </x:row>
    <x:row r="7">
      <x:c r="A7" s="12" t="str">
        <x:v>Modules</x:v>
      </x:c>
      <x:c r="B7" s="12" t="str">
        <x:v>Task Server?</x:v>
      </x:c>
      <x:c r="C7" s="12" t="str"/>
      <x:c r="D7" s="12" t="str"/>
      <x:c r="E7" s="12" t="str">
        <x:v>Unknown</x:v>
      </x:c>
    </x:row>
    <x:row r="8">
      <x:c r="A8" s="12" t="str">
        <x:v>Modules</x:v>
      </x:c>
      <x:c r="B8" s="12" t="str">
        <x:v>Document services?</x:v>
      </x:c>
      <x:c r="C8" s="12" t="str"/>
      <x:c r="D8" s="12" t="str"/>
      <x:c r="E8" s="12" t="str">
        <x:v>Unknown</x:v>
      </x:c>
    </x:row>
    <x:row r="9">
      <x:c r="A9" s="12" t="str">
        <x:v>API</x:v>
      </x:c>
      <x:c r="B9" s="12" t="str">
        <x:v>REST available?</x:v>
      </x:c>
      <x:c r="C9" s="12" t="str"/>
      <x:c r="D9" s="12" t="str"/>
      <x:c r="E9" s="12" t="str">
        <x:v>Unknown</x:v>
      </x:c>
    </x:row>
    <x:row r="10">
      <x:c r="A10" s="12" t="str">
        <x:v>API</x:v>
      </x:c>
      <x:c r="B10" s="12" t="str">
        <x:v>SOAP available?</x:v>
      </x:c>
      <x:c r="C10" s="12" t="str"/>
      <x:c r="D10" s="12" t="str"/>
      <x:c r="E10" s="12" t="str">
        <x:v>Unknown</x:v>
      </x:c>
    </x:row>
    <x:row r="11">
      <x:c r="A11" s="12" t="str">
        <x:v>API</x:v>
      </x:c>
      <x:c r="B11" s="12" t="str">
        <x:v>Licensed web services/API module?</x:v>
      </x:c>
      <x:c r="C11" s="12" t="str"/>
      <x:c r="D11" s="12" t="str"/>
      <x:c r="E11" s="12" t="str">
        <x:v>Unknown</x:v>
      </x:c>
    </x:row>
    <x:row r="12">
      <x:c r="A12" s="12" t="str">
        <x:v>API</x:v>
      </x:c>
      <x:c r="B12" s="12" t="str">
        <x:v>API documentation available?</x:v>
      </x:c>
      <x:c r="C12" s="12" t="str"/>
      <x:c r="D12" s="12" t="str"/>
      <x:c r="E12" s="12" t="str">
        <x:v>Unknown</x:v>
      </x:c>
    </x:row>
    <x:row r="13">
      <x:c r="A13" s="12" t="str">
        <x:v>API</x:v>
      </x:c>
      <x:c r="B13" s="12" t="str">
        <x:v>Test/non-production environment?</x:v>
      </x:c>
      <x:c r="C13" s="12" t="str"/>
      <x:c r="D13" s="12" t="str"/>
      <x:c r="E13" s="12" t="str">
        <x:v>Unknown</x:v>
      </x:c>
    </x:row>
    <x:row r="14">
      <x:c r="A14" s="12" t="str">
        <x:v>API</x:v>
      </x:c>
      <x:c r="B14" s="12" t="str">
        <x:v>Dedicated service/integration user possible?</x:v>
      </x:c>
      <x:c r="C14" s="12" t="str"/>
      <x:c r="D14" s="12" t="str"/>
      <x:c r="E14" s="12" t="str">
        <x:v>Unknown</x:v>
      </x:c>
    </x:row>
    <x:row r="15">
      <x:c r="A15" s="12" t="str">
        <x:v>Automation</x:v>
      </x:c>
      <x:c r="B15" s="12" t="str">
        <x:v>What is already automated successfully?</x:v>
      </x:c>
      <x:c r="C15" s="12" t="str"/>
      <x:c r="D15" s="12" t="str"/>
      <x:c r="E15" s="12" t="str">
        <x:v>Unknown</x:v>
      </x:c>
    </x:row>
    <x:row r="16">
      <x:c r="A16" s="12" t="str">
        <x:v>Automation</x:v>
      </x:c>
      <x:c r="B16" s="12" t="str">
        <x:v>What requires bespoke Proclaim development?</x:v>
      </x:c>
      <x:c r="C16" s="12" t="str"/>
      <x:c r="D16" s="12" t="str"/>
      <x:c r="E16" s="12" t="str">
        <x:v>Unknown</x:v>
      </x:c>
    </x:row>
    <x:row r="17">
      <x:c r="A17" s="12" t="str">
        <x:v>Automation</x:v>
      </x:c>
      <x:c r="B17" s="12" t="str">
        <x:v>Typical time/cost to change workflow?</x:v>
      </x:c>
      <x:c r="C17" s="12" t="str"/>
      <x:c r="D17" s="12" t="str"/>
      <x:c r="E17" s="12" t="str">
        <x:v>Unknown</x:v>
      </x:c>
    </x:row>
    <x:row r="18">
      <x:c r="A18" s="12" t="str">
        <x:v>Automation</x:v>
      </x:c>
      <x:c r="B18" s="12" t="str">
        <x:v>Internal developer or external consultant?</x:v>
      </x:c>
      <x:c r="C18" s="12" t="str"/>
      <x:c r="D18" s="12" t="str"/>
      <x:c r="E18" s="12" t="str">
        <x:v>Unknown</x:v>
      </x:c>
    </x:row>
    <x:row r="19">
      <x:c r="A19" s="12" t="str">
        <x:v>Outlook</x:v>
      </x:c>
      <x:c r="B19" s="12" t="str">
        <x:v>How are emails currently filed?</x:v>
      </x:c>
      <x:c r="C19" s="12" t="str"/>
      <x:c r="D19" s="12" t="str"/>
      <x:c r="E19" s="12" t="str">
        <x:v>Unknown</x:v>
      </x:c>
    </x:row>
    <x:row r="20">
      <x:c r="A20" s="12" t="str">
        <x:v>Outlook</x:v>
      </x:c>
      <x:c r="B20" s="12" t="str">
        <x:v>Old or New Outlook?</x:v>
      </x:c>
      <x:c r="C20" s="12" t="str"/>
      <x:c r="D20" s="12" t="str"/>
      <x:c r="E20" s="12" t="str">
        <x:v>Unknown</x:v>
      </x:c>
    </x:row>
    <x:row r="21">
      <x:c r="A21" s="12" t="str">
        <x:v>Outlook</x:v>
      </x:c>
      <x:c r="B21" s="12" t="str">
        <x:v>Common email/document failure/workaround?</x:v>
      </x:c>
      <x:c r="C21" s="12" t="str"/>
      <x:c r="D21" s="12" t="str"/>
      <x:c r="E21" s="12" t="str">
        <x:v>Unknown</x:v>
      </x:c>
    </x:row>
    <x:row r="22">
      <x:c r="A22" s="12" t="str">
        <x:v>Workflow</x:v>
      </x:c>
      <x:c r="B22" s="12" t="str">
        <x:v>Key PI stages/task types/custom fields?</x:v>
      </x:c>
      <x:c r="C22" s="12" t="str"/>
      <x:c r="D22" s="12" t="str"/>
      <x:c r="E22" s="12" t="str">
        <x:v>Unknown</x:v>
      </x:c>
    </x:row>
    <x:row r="23">
      <x:c r="A23" s="12" t="str">
        <x:v>Security</x:v>
      </x:c>
      <x:c r="B23" s="12" t="str">
        <x:v>Restricted matters/information barriers?</x:v>
      </x:c>
      <x:c r="C23" s="12" t="str"/>
      <x:c r="D23" s="12" t="str"/>
      <x:c r="E23" s="12" t="str">
        <x:v>Unknown</x:v>
      </x:c>
    </x:row>
    <x:row r="24">
      <x:c r="A24" s="12" t="str">
        <x:v>Future</x:v>
      </x:c>
      <x:c r="B24" s="12" t="str">
        <x:v>Planned Proclaim upgrades/Evo migration?</x:v>
      </x:c>
      <x:c r="C24" s="12" t="str"/>
      <x:c r="D24" s="12" t="str"/>
      <x:c r="E24" s="12" t="str">
        <x:v>Unknown</x:v>
      </x:c>
    </x:row>
  </x:sheetData>
  <x:dataValidations count="1">
    <x:dataValidation type="list" sqref="E2:E24">
      <x:formula1>"Unknown,Confirmed,Needs Follow-up,Not Applicable"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0" hidden="0" customWidth="1"/>
    <x:col min="4" max="4" width="34" hidden="0" customWidth="1"/>
    <x:col min="5" max="5" width="28" hidden="0" customWidth="1"/>
    <x:col min="6" max="6" width="30" hidden="0" customWidth="1"/>
    <x:col min="7" max="7" width="34" hidden="0" customWidth="1"/>
    <x:col min="8" max="8" width="30" hidden="0" customWidth="1"/>
  </x:cols>
  <x:sheetData>
    <x:row r="1">
      <x:c r="A1" s="65" t="str">
        <x:v>First-30-Events Review</x:v>
      </x:c>
      <x:c r="B1" s="65"/>
      <x:c r="C1" s="65"/>
      <x:c r="D1" s="65"/>
      <x:c r="E1" s="65"/>
      <x:c r="F1" s="65"/>
      <x:c r="G1" s="65"/>
      <x:c r="H1" s="65"/>
    </x:row>
    <x:row r="3">
      <x:c r="A3" s="70" t="str">
        <x:v>Metric</x:v>
      </x:c>
      <x:c r="B3" s="70" t="str">
        <x:v>Value</x:v>
      </x:c>
      <x:c r="D3" s="70" t="str">
        <x:v>Review Question</x:v>
      </x:c>
      <x:c r="E3" s="70" t="str">
        <x:v>Answer</x:v>
      </x:c>
      <x:c r="F3" s="70" t="str">
        <x:v>Evidence</x:v>
      </x:c>
      <x:c r="G3" s="70" t="str">
        <x:v>Next Observation Needed</x:v>
      </x:c>
      <x:c r="H3" s="70" t="str">
        <x:v>Decision Impact</x:v>
      </x:c>
    </x:row>
    <x:row r="4">
      <x:c r="A4" t="str">
        <x:v>Observations entered</x:v>
      </x:c>
      <x:c r="B4" t="n">
        <x:f>COUNTIF('TO Observations'!F2:F201,"&lt;&gt;")</x:f>
        <x:v>0</x:v>
      </x:c>
      <x:c r="D4" s="12" t="str">
        <x:v>What task consumed most active time?</x:v>
      </x:c>
      <x:c r="E4" s="12" t="str"/>
      <x:c r="F4" s="12" t="str"/>
      <x:c r="G4" s="12" t="str"/>
      <x:c r="H4" s="12" t="str"/>
    </x:row>
    <x:row r="5">
      <x:c r="A5" t="str">
        <x:v>Total active minutes</x:v>
      </x:c>
      <x:c r="B5" t="n">
        <x:f>SUM('TO Observations'!H2:H201)</x:f>
        <x:v>0</x:v>
      </x:c>
      <x:c r="D5" s="12" t="str">
        <x:v>What workflow repeated most?</x:v>
      </x:c>
      <x:c r="E5" s="12" t="str"/>
      <x:c r="F5" s="12" t="str"/>
      <x:c r="G5" s="12" t="str"/>
      <x:c r="H5" s="12" t="str"/>
    </x:row>
    <x:row r="6">
      <x:c r="A6" t="str">
        <x:v>Total waiting minutes</x:v>
      </x:c>
      <x:c r="B6" t="n">
        <x:f>SUM('TO Observations'!I2:I201)</x:f>
        <x:v>0</x:v>
      </x:c>
      <x:c r="D6" s="12" t="str">
        <x:v>What work had highest judgement?</x:v>
      </x:c>
      <x:c r="E6" s="12" t="str"/>
      <x:c r="F6" s="12" t="str"/>
      <x:c r="G6" s="12" t="str"/>
      <x:c r="H6" s="12" t="str"/>
    </x:row>
    <x:row r="7">
      <x:c r="A7" t="str">
        <x:v>Exceptions observed</x:v>
      </x:c>
      <x:c r="B7" t="n">
        <x:f>COUNTIF('TO Observations'!O2:O201,"Yes")</x:f>
        <x:v>0</x:v>
      </x:c>
      <x:c r="D7" s="12" t="str">
        <x:v>Where did exceptions/rework appear?</x:v>
      </x:c>
      <x:c r="E7" s="12" t="str"/>
      <x:c r="F7" s="12" t="str"/>
      <x:c r="G7" s="12" t="str"/>
      <x:c r="H7" s="12" t="str"/>
    </x:row>
    <x:row r="8">
      <x:c r="A8" t="str">
        <x:v>Rework/errors observed</x:v>
      </x:c>
      <x:c r="B8" t="n">
        <x:f>COUNTIF('TO Observations'!P2:P201,"Yes")</x:f>
        <x:v>0</x:v>
      </x:c>
      <x:c r="D8" s="12" t="str">
        <x:v>What caused longest external waiting?</x:v>
      </x:c>
      <x:c r="E8" s="12" t="str"/>
      <x:c r="F8" s="12" t="str"/>
      <x:c r="G8" s="12" t="str"/>
      <x:c r="H8" s="12" t="str"/>
    </x:row>
    <x:row r="9">
      <x:c r="A9" t="str">
        <x:v>Avg system switches</x:v>
      </x:c>
      <x:c r="B9" t="n">
        <x:f>IF(B4=0,0,SUM('TO Observations'!K2:K201)/B4)</x:f>
        <x:v>0</x:v>
      </x:c>
      <x:c r="D9" s="12" t="str">
        <x:v>What contradicted our inbound hypothesis?</x:v>
      </x:c>
      <x:c r="E9" s="12" t="str"/>
      <x:c r="F9" s="12" t="str"/>
      <x:c r="G9" s="12" t="str"/>
      <x:c r="H9" s="12" t="str"/>
    </x:row>
    <x:row r="10">
      <x:c r="A10" t="str">
        <x:v>Top category by observed events</x:v>
      </x:c>
      <x:c r="B10" t="str">
        <x:f>INDEX('Task Summary'!A2:A18,MATCH(MAX('Task Summary'!B2:B18),'Task Summary'!B2:B18,0))</x:f>
        <x:v>FILE</x:v>
      </x:c>
      <x:c r="D10" s="12" t="str">
        <x:v>Provisional wedge #1</x:v>
      </x:c>
      <x:c r="E10" s="12" t="str"/>
      <x:c r="F10" s="12" t="str"/>
      <x:c r="G10" s="12" t="str"/>
      <x:c r="H10" s="12" t="str"/>
    </x:row>
    <x:row r="11">
      <x:c r="A11" t="str">
        <x:v>Top category by observed active minutes</x:v>
      </x:c>
      <x:c r="B11" t="str">
        <x:v>REVIEW TASK SUMMARY: Observed Events × Avg Active Min</x:v>
      </x:c>
      <x:c r="D11" s="12" t="str">
        <x:v>Provisional wedge #2</x:v>
      </x:c>
      <x:c r="E11" s="12" t="str"/>
      <x:c r="F11" s="12" t="str"/>
      <x:c r="G11" s="12" t="str"/>
      <x:c r="H11" s="12" t="str"/>
    </x:row>
    <x:row r="12">
      <x:c r="A12" t="str">
        <x:v>Validated Task Family × Role rows</x:v>
      </x:c>
      <x:c r="B12" t="n">
        <x:f>COUNTIF('Task Family Analysis'!P2:P101,"PROVISIONAL RANKING READY")</x:f>
        <x:v>0</x:v>
      </x:c>
      <x:c r="D12" s="12" t="str">
        <x:v>Provisional wedge #3</x:v>
      </x:c>
      <x:c r="E12" s="12" t="str"/>
      <x:c r="F12" s="12" t="str"/>
      <x:c r="G12" s="12" t="str"/>
      <x:c r="H12" s="12" t="str"/>
    </x:row>
    <x:row r="13">
      <x:c r="A13" t="str">
        <x:v>30-event threshold reached?</x:v>
      </x:c>
      <x:c r="B13" t="str">
        <x:f>IF(B4&gt;=30,"YES","NO")</x:f>
        <x:v>NO</x:v>
      </x:c>
    </x:row>
    <x:row r="14">
      <x:c r="A14" s="82" t="str">
        <x:v>WARNING</x:v>
      </x:c>
      <x:c r="B14" s="12" t="str">
        <x:v>30 observations identify hypotheses; they do not validate annual economics.</x:v>
      </x:c>
    </x:row>
    <x:row r="15">
      <x:c r="A15" s="82" t="str">
        <x:v>Annual £ ranking</x:v>
      </x:c>
      <x:c r="B15" s="12" t="str">
        <x:v>Do not use until Volume Validation is independently sourced and marked Validated = Yes.</x:v>
      </x:c>
    </x:row>
    <x:row r="16">
      <x:c r="A16" s="82" t="str">
        <x:v>Bias check</x:v>
      </x:c>
      <x:c r="B16" s="12" t="str">
        <x:v>Compare results against Pre-registered Hypotheses and record contradictory evidence.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2" hidden="0" customWidth="1"/>
    <x:col min="4" max="4" width="32" hidden="0" customWidth="1"/>
    <x:col min="5" max="5" width="26" hidden="0" customWidth="1"/>
    <x:col min="6" max="6" width="34" hidden="0" customWidth="1"/>
  </x:cols>
  <x:sheetData>
    <x:row r="1">
      <x:c r="A1" s="70" t="str">
        <x:v>Agenda</x:v>
      </x:c>
      <x:c r="B1" s="70" t="str">
        <x:v>Question</x:v>
      </x:c>
      <x:c r="C1" s="70" t="str">
        <x:v>Finding</x:v>
      </x:c>
      <x:c r="D1" s="70" t="str">
        <x:v>Evidence</x:v>
      </x:c>
      <x:c r="E1" s="70" t="str">
        <x:v>Decision</x:v>
      </x:c>
      <x:c r="F1" s="70" t="str">
        <x:v>Owner / Next Step</x:v>
      </x:c>
    </x:row>
    <x:row r="2">
      <x:c r="A2" s="12" t="str">
        <x:v>Facts</x:v>
      </x:c>
      <x:c r="B2" s="12" t="str">
        <x:v>How many observations/roles/time?</x:v>
      </x:c>
      <x:c r="C2" s="12" t="str"/>
      <x:c r="D2" s="12" t="str"/>
      <x:c r="E2" s="12" t="str"/>
      <x:c r="F2" s="12" t="str"/>
    </x:row>
    <x:row r="3">
      <x:c r="A3" s="12" t="str">
        <x:v>Workload</x:v>
      </x:c>
      <x:c r="B3" s="12" t="str">
        <x:v>Which tasks dominate?</x:v>
      </x:c>
      <x:c r="C3" s="12" t="str"/>
      <x:c r="D3" s="12" t="str"/>
      <x:c r="E3" s="12" t="str"/>
      <x:c r="F3" s="12" t="str"/>
    </x:row>
    <x:row r="4">
      <x:c r="A4" s="12" t="str">
        <x:v>Contradictions</x:v>
      </x:c>
      <x:c r="B4" s="12" t="str">
        <x:v>What surprised us?</x:v>
      </x:c>
      <x:c r="C4" s="12" t="str"/>
      <x:c r="D4" s="12" t="str"/>
      <x:c r="E4" s="12" t="str"/>
      <x:c r="F4" s="12" t="str"/>
    </x:row>
    <x:row r="5">
      <x:c r="A5" s="12" t="str">
        <x:v>Ranking</x:v>
      </x:c>
      <x:c r="B5" s="12" t="str">
        <x:v>Top three candidate workflows?</x:v>
      </x:c>
      <x:c r="C5" s="12" t="str"/>
      <x:c r="D5" s="12" t="str"/>
      <x:c r="E5" s="12" t="str"/>
      <x:c r="F5" s="12" t="str"/>
    </x:row>
    <x:row r="6">
      <x:c r="A6" s="12" t="str">
        <x:v>Missing evidence</x:v>
      </x:c>
      <x:c r="B6" s="12" t="str">
        <x:v>What must next observation answer?</x:v>
      </x:c>
      <x:c r="C6" s="12" t="str"/>
      <x:c r="D6" s="12" t="str"/>
      <x:c r="E6" s="12" t="str"/>
      <x:c r="F6" s="12" t="str"/>
    </x:row>
    <x:row r="7">
      <x:c r="A7" s="12" t="str">
        <x:v>Decision</x:v>
      </x:c>
      <x:c r="B7" s="12" t="str">
        <x:v>Continue / reorder / expand / test?</x:v>
      </x:c>
      <x:c r="C7" s="12" t="str"/>
      <x:c r="D7" s="12" t="str"/>
      <x:c r="E7" s="12" t="str"/>
      <x:c r="F7" s="12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2" hidden="0" customWidth="1"/>
    <x:col min="5" max="5" width="24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24" hidden="0" customWidth="1"/>
    <x:col min="11" max="11" width="22" hidden="0" customWidth="1"/>
    <x:col min="12" max="12" width="38" hidden="0" customWidth="1"/>
  </x:cols>
  <x:sheetData>
    <x:row r="1">
      <x:c r="A1" s="76" t="str">
        <x:v>Session ID</x:v>
      </x:c>
      <x:c r="B1" s="76" t="str">
        <x:v>Date</x:v>
      </x:c>
      <x:c r="C1" s="76" t="str">
        <x:v>Observer</x:v>
      </x:c>
      <x:c r="D1" s="76" t="str">
        <x:v>Observed Role</x:v>
      </x:c>
      <x:c r="E1" s="76" t="str">
        <x:v>Team/Practice</x:v>
      </x:c>
      <x:c r="F1" s="76" t="str">
        <x:v>Start Time</x:v>
      </x:c>
      <x:c r="G1" s="76" t="str">
        <x:v>End Time</x:v>
      </x:c>
      <x:c r="H1" s="76" t="str">
        <x:v>Method</x:v>
      </x:c>
      <x:c r="I1" s="76" t="str">
        <x:v>Sample Mode</x:v>
      </x:c>
      <x:c r="J1" s="76" t="str">
        <x:v>Authorisation Confirmed?</x:v>
      </x:c>
      <x:c r="K1" s="76" t="str">
        <x:v>Unusual Conditions?</x:v>
      </x:c>
      <x:c r="L1" s="76" t="str">
        <x:v>Notes</x:v>
      </x:c>
    </x:row>
    <x:row r="2">
      <x:c r="A2" s="12"/>
      <x:c r="B2" s="14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2"/>
      <x:c r="B3" s="14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2"/>
      <x:c r="B4" s="14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4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4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4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4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4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4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4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4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4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4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4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4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4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4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4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4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4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4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4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4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4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</x:sheetData>
  <x:dataValidations count="3">
    <x:dataValidation type="list" sqref="H2:H51">
      <x:formula1>"Live shadowing,Screen share,Retrospective walkthrough,Self-log"</x:formula1>
    </x:dataValidation>
    <x:dataValidation type="list" sqref="I2:I51">
      <x:formula1>Lists!$I$2:$I$5</x:formula1>
    </x:dataValidation>
    <x:dataValidation type="list" sqref="J2:K51">
      <x:formula1>"Yes,No"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22" hidden="0" customWidth="1"/>
    <x:col min="8" max="8" width="38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>
      <x:c r="A1" s="76" t="str">
        <x:v>Task Family</x:v>
      </x:c>
      <x:c r="B1" s="76" t="str">
        <x:v>Role</x:v>
      </x:c>
      <x:c r="C1" s="76" t="str">
        <x:v>Practice Area</x:v>
      </x:c>
      <x:c r="D1" s="76" t="str">
        <x:v>Events / Person / Day</x:v>
      </x:c>
      <x:c r="E1" s="76" t="str">
        <x:v>People Doing Task</x:v>
      </x:c>
      <x:c r="F1" s="76" t="str">
        <x:v>Working Days / Year</x:v>
      </x:c>
      <x:c r="G1" s="76" t="str">
        <x:v>Volume Source</x:v>
      </x:c>
      <x:c r="H1" s="76" t="str">
        <x:v>Source Detail</x:v>
      </x:c>
      <x:c r="I1" s="76" t="str">
        <x:v>Confidence</x:v>
      </x:c>
      <x:c r="J1" s="76" t="str">
        <x:v>Validated?</x:v>
      </x:c>
      <x:c r="K1" s="76" t="str">
        <x:v>Notes</x:v>
      </x:c>
    </x:row>
    <x:row r="2">
      <x:c r="A2" s="12"/>
      <x:c r="B2" s="12"/>
      <x:c r="C2" s="12"/>
      <x:c r="D2" s="12"/>
      <x:c r="E2" s="12"/>
      <x:c r="F2" s="12" t="n">
        <x:v>220</x:v>
      </x:c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 t="n">
        <x:v>220</x:v>
      </x:c>
      <x:c r="G3" s="12"/>
      <x:c r="H3" s="12"/>
      <x:c r="I3" s="12"/>
      <x:c r="J3" s="12"/>
      <x:c r="K3" s="12"/>
    </x:row>
    <x:row r="4">
      <x:c r="A4" s="12"/>
      <x:c r="B4" s="12"/>
      <x:c r="C4" s="12"/>
      <x:c r="D4" s="12"/>
      <x:c r="E4" s="12"/>
      <x:c r="F4" s="12" t="n">
        <x:v>220</x:v>
      </x:c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 t="n">
        <x:v>220</x:v>
      </x:c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 t="n">
        <x:v>220</x:v>
      </x:c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 t="n">
        <x:v>220</x:v>
      </x:c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 t="n">
        <x:v>220</x:v>
      </x:c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 t="n">
        <x:v>220</x:v>
      </x:c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 t="n">
        <x:v>220</x:v>
      </x:c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 t="n">
        <x:v>220</x:v>
      </x:c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 t="n">
        <x:v>220</x:v>
      </x:c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 t="n">
        <x:v>220</x:v>
      </x:c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 t="n">
        <x:v>220</x:v>
      </x:c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 t="n">
        <x:v>220</x:v>
      </x:c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 t="n">
        <x:v>220</x:v>
      </x:c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 t="n">
        <x:v>220</x:v>
      </x:c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 t="n">
        <x:v>220</x:v>
      </x:c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 t="n">
        <x:v>220</x:v>
      </x:c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 t="n">
        <x:v>220</x:v>
      </x:c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 t="n">
        <x:v>220</x:v>
      </x:c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 t="n">
        <x:v>220</x:v>
      </x:c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 t="n">
        <x:v>220</x:v>
      </x:c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 t="n">
        <x:v>220</x:v>
      </x:c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 t="n">
        <x:v>220</x:v>
      </x:c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 t="n">
        <x:v>220</x:v>
      </x:c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 t="n">
        <x:v>220</x:v>
      </x:c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 t="n">
        <x:v>220</x:v>
      </x:c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 t="n">
        <x:v>220</x:v>
      </x:c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 t="n">
        <x:v>220</x:v>
      </x:c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 t="n">
        <x:v>220</x:v>
      </x:c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 t="n">
        <x:v>220</x:v>
      </x:c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 t="n">
        <x:v>220</x:v>
      </x:c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 t="n">
        <x:v>220</x:v>
      </x:c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 t="n">
        <x:v>220</x:v>
      </x:c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 t="n">
        <x:v>220</x:v>
      </x:c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 t="n">
        <x:v>220</x:v>
      </x:c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 t="n">
        <x:v>220</x:v>
      </x:c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 t="n">
        <x:v>220</x:v>
      </x:c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 t="n">
        <x:v>220</x:v>
      </x:c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 t="n">
        <x:v>220</x:v>
      </x:c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 t="n">
        <x:v>220</x:v>
      </x:c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 t="n">
        <x:v>220</x:v>
      </x:c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 t="n">
        <x:v>220</x:v>
      </x:c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 t="n">
        <x:v>220</x:v>
      </x:c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 t="n">
        <x:v>220</x:v>
      </x:c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 t="n">
        <x:v>220</x:v>
      </x:c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 t="n">
        <x:v>220</x:v>
      </x:c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 t="n">
        <x:v>220</x:v>
      </x:c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 t="n">
        <x:v>220</x:v>
      </x:c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 t="n">
        <x:v>220</x:v>
      </x:c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 t="n">
        <x:v>220</x:v>
      </x:c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 t="n">
        <x:v>220</x:v>
      </x:c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 t="n">
        <x:v>220</x:v>
      </x:c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 t="n">
        <x:v>220</x:v>
      </x:c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 t="n">
        <x:v>220</x:v>
      </x:c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 t="n">
        <x:v>220</x:v>
      </x:c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 t="n">
        <x:v>220</x:v>
      </x:c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 t="n">
        <x:v>220</x:v>
      </x:c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 t="n">
        <x:v>220</x:v>
      </x:c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 t="n">
        <x:v>220</x:v>
      </x:c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 t="n">
        <x:v>220</x:v>
      </x:c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 t="n">
        <x:v>220</x:v>
      </x:c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 t="n">
        <x:v>220</x:v>
      </x:c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 t="n">
        <x:v>220</x:v>
      </x:c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 t="n">
        <x:v>220</x:v>
      </x:c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 t="n">
        <x:v>220</x:v>
      </x:c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 t="n">
        <x:v>220</x:v>
      </x:c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 t="n">
        <x:v>220</x:v>
      </x:c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 t="n">
        <x:v>220</x:v>
      </x:c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 t="n">
        <x:v>220</x:v>
      </x:c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 t="n">
        <x:v>220</x:v>
      </x:c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 t="n">
        <x:v>220</x:v>
      </x:c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 t="n">
        <x:v>220</x:v>
      </x:c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 t="n">
        <x:v>220</x:v>
      </x:c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 t="n">
        <x:v>220</x:v>
      </x:c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 t="n">
        <x:v>220</x:v>
      </x:c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 t="n">
        <x:v>220</x:v>
      </x:c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 t="n">
        <x:v>220</x:v>
      </x:c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 t="n">
        <x:v>220</x:v>
      </x:c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 t="n">
        <x:v>220</x:v>
      </x:c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 t="n">
        <x:v>220</x:v>
      </x:c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 t="n">
        <x:v>220</x:v>
      </x:c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 t="n">
        <x:v>220</x:v>
      </x:c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 t="n">
        <x:v>220</x:v>
      </x:c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 t="n">
        <x:v>220</x:v>
      </x:c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 t="n">
        <x:v>220</x:v>
      </x:c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 t="n">
        <x:v>220</x:v>
      </x:c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 t="n">
        <x:v>220</x:v>
      </x:c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 t="n">
        <x:v>220</x:v>
      </x:c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 t="n">
        <x:v>220</x:v>
      </x:c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 t="n">
        <x:v>220</x:v>
      </x:c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 t="n">
        <x:v>220</x:v>
      </x:c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 t="n">
        <x:v>220</x:v>
      </x:c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 t="n">
        <x:v>220</x:v>
      </x:c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 t="n">
        <x:v>220</x:v>
      </x:c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 t="n">
        <x:v>220</x:v>
      </x:c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 t="n">
        <x:v>220</x:v>
      </x:c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 t="n">
        <x:v>220</x:v>
      </x:c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 t="n">
        <x:v>220</x:v>
      </x:c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 t="n">
        <x:v>220</x:v>
      </x:c>
      <x:c r="G101" s="12"/>
      <x:c r="H101" s="12"/>
      <x:c r="I101" s="12"/>
      <x:c r="J101" s="12"/>
      <x:c r="K101" s="12"/>
    </x:row>
  </x:sheetData>
  <x:dataValidations count="3">
    <x:dataValidation type="list" sqref="G2:G101">
      <x:formula1>Lists!$K$2:$K$6</x:formula1>
    </x:dataValidation>
    <x:dataValidation type="list" sqref="I2:I101">
      <x:formula1>"LOW,MEDIUM,HIGH"</x:formula1>
    </x:dataValidation>
    <x:dataValidation type="list" sqref="J2:J101">
      <x:formula1>"Yes,No"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</x:cols>
  <x:sheetData>
    <x:row r="1">
      <x:c r="A1" s="76" t="str">
        <x:v>Task Family</x:v>
      </x:c>
      <x:c r="B1" s="76" t="str">
        <x:v>Role</x:v>
      </x:c>
      <x:c r="C1" s="76" t="str">
        <x:v>Observed N</x:v>
      </x:c>
      <x:c r="D1" s="76" t="str">
        <x:v>Avg Active Min</x:v>
      </x:c>
      <x:c r="E1" s="76" t="str">
        <x:v>Avg Review Min</x:v>
      </x:c>
      <x:c r="F1" s="76" t="str">
        <x:v>Exception Rate</x:v>
      </x:c>
      <x:c r="G1" s="76" t="str">
        <x:v>Rework Rate</x:v>
      </x:c>
      <x:c r="H1" s="76" t="str">
        <x:v>Avg System Switches</x:v>
      </x:c>
      <x:c r="I1" s="76" t="str">
        <x:v>Events/Person/Day</x:v>
      </x:c>
      <x:c r="J1" s="76" t="str">
        <x:v>People</x:v>
      </x:c>
      <x:c r="K1" s="76" t="str">
        <x:v>Working Days</x:v>
      </x:c>
      <x:c r="L1" s="76" t="str">
        <x:v>Loaded £/Hour</x:v>
      </x:c>
      <x:c r="M1" s="76" t="str">
        <x:v>Volume Source</x:v>
      </x:c>
      <x:c r="N1" s="76" t="str">
        <x:v>Annual Events</x:v>
      </x:c>
      <x:c r="O1" s="76" t="str">
        <x:v>Annual Capacity £</x:v>
      </x:c>
      <x:c r="P1" s="76" t="str">
        <x:v>Evidence Status</x:v>
      </x:c>
    </x:row>
    <x:row r="2">
      <x:c r="A2" t="n">
        <x:f>'Volume Validation'!A2</x:f>
        <x:v>0</x:v>
      </x:c>
      <x:c r="B2" t="n">
        <x:f>'Volume Validation'!B2</x:f>
        <x:v>0</x:v>
      </x:c>
      <x:c r="C2" t="n">
        <x:f>IF(A2="",0,COUNTIFS('TO Observations'!$X$2:$X$201,A2,'TO Observations'!$C$2:$C$201,B2,'TO Observations'!$AN$2:$AN$201,"Yes"))</x:f>
        <x:v>0</x:v>
      </x:c>
      <x:c r="D2" t="n">
        <x:f>IF(C2=0,0,SUMIFS('TO Observations'!$H$2:$H$201,'TO Observations'!$X$2:$X$201,A2,'TO Observations'!$C$2:$C$201,B2,'TO Observations'!$AN$2:$AN$201,"Yes")/C2)</x:f>
        <x:v>0</x:v>
      </x:c>
      <x:c r="E2" t="n">
        <x:f>IF(C2=0,0,SUMIFS('TO Observations'!$Q$2:$Q$201,'TO Observations'!$X$2:$X$201,A2,'TO Observations'!$C$2:$C$201,B2,'TO Observations'!$AN$2:$AN$201,"Yes")/C2)</x:f>
        <x:v>0</x:v>
      </x:c>
      <x:c r="F2" s="59" t="n">
        <x:f>IF(C2=0,0,COUNTIFS('TO Observations'!$X$2:$X$201,A2,'TO Observations'!$C$2:$C$201,B2,'TO Observations'!$O$2:$O$201,"Yes",'TO Observations'!$AN$2:$AN$201,"Yes")/C2)</x:f>
        <x:v>0</x:v>
      </x:c>
      <x:c r="G2" s="59" t="n">
        <x:f>IF(C2=0,0,COUNTIFS('TO Observations'!$X$2:$X$201,A2,'TO Observations'!$C$2:$C$201,B2,'TO Observations'!$P$2:$P$201,"Yes",'TO Observations'!$AN$2:$AN$201,"Yes")/C2)</x:f>
        <x:v>0</x:v>
      </x:c>
      <x:c r="H2" t="n">
        <x:f>IF(C2=0,0,SUMIFS('TO Observations'!$K$2:$K$201,'TO Observations'!$X$2:$X$201,A2,'TO Observations'!$C$2:$C$201,B2,'TO Observations'!$AN$2:$AN$201,"Yes")/C2)</x:f>
        <x:v>0</x:v>
      </x:c>
      <x:c r="I2" t="n">
        <x:f>'Volume Validation'!D2</x:f>
        <x:v>0</x:v>
      </x:c>
      <x:c r="J2" t="n">
        <x:f>'Volume Validation'!E2</x:f>
        <x:v>0</x:v>
      </x:c>
      <x:c r="K2" t="n">
        <x:f>'Volume Validation'!F2</x:f>
        <x:v>220</x:v>
      </x:c>
      <x:c r="L2" s="40" t="n">
        <x:f>IFERROR(INDEX('Role Cost Assumptions'!$B$2:$B$10,MATCH(B2,'Role Cost Assumptions'!$A$2:$A$10,0)),25)</x:f>
        <x:v>25</x:v>
      </x:c>
      <x:c r="M2" t="n">
        <x:f>'Volume Validation'!G2</x:f>
        <x:v>0</x:v>
      </x:c>
      <x:c r="N2" t="n">
        <x:f>IF('Volume Validation'!J2="Yes",I2*J2*K2,0)</x:f>
        <x:v>0</x:v>
      </x:c>
      <x:c r="O2" s="24" t="n">
        <x:f>N2*(D2+E2)/60*L2</x:f>
        <x:v>0</x:v>
      </x:c>
      <x:c r="P2" t="str">
        <x:f>IF(A2="","",IF('Volume Validation'!J2&lt;&gt;"Yes","HOLD - VOLUME UNVALIDATED",IF(C2&lt;5,"HOLD - LOW TIMING SAMPLE","PROVISIONAL RANKING READY")))</x:f>
      </x:c>
    </x:row>
    <x:row r="3">
      <x:c r="A3" t="n">
        <x:f>'Volume Validation'!A3</x:f>
        <x:v>0</x:v>
      </x:c>
      <x:c r="B3" t="n">
        <x:f>'Volume Validation'!B3</x:f>
        <x:v>0</x:v>
      </x:c>
      <x:c r="C3" t="n">
        <x:f>IF(A3="",0,COUNTIFS('TO Observations'!$X$2:$X$201,A3,'TO Observations'!$C$2:$C$201,B3,'TO Observations'!$AN$2:$AN$201,"Yes"))</x:f>
        <x:v>0</x:v>
      </x:c>
      <x:c r="D3" t="n">
        <x:f>IF(C3=0,0,SUMIFS('TO Observations'!$H$2:$H$201,'TO Observations'!$X$2:$X$201,A3,'TO Observations'!$C$2:$C$201,B3,'TO Observations'!$AN$2:$AN$201,"Yes")/C3)</x:f>
        <x:v>0</x:v>
      </x:c>
      <x:c r="E3" t="n">
        <x:f>IF(C3=0,0,SUMIFS('TO Observations'!$Q$2:$Q$201,'TO Observations'!$X$2:$X$201,A3,'TO Observations'!$C$2:$C$201,B3,'TO Observations'!$AN$2:$AN$201,"Yes")/C3)</x:f>
        <x:v>0</x:v>
      </x:c>
      <x:c r="F3" s="59" t="n">
        <x:f>IF(C3=0,0,COUNTIFS('TO Observations'!$X$2:$X$201,A3,'TO Observations'!$C$2:$C$201,B3,'TO Observations'!$O$2:$O$201,"Yes",'TO Observations'!$AN$2:$AN$201,"Yes")/C3)</x:f>
        <x:v>0</x:v>
      </x:c>
      <x:c r="G3" s="59" t="n">
        <x:f>IF(C3=0,0,COUNTIFS('TO Observations'!$X$2:$X$201,A3,'TO Observations'!$C$2:$C$201,B3,'TO Observations'!$P$2:$P$201,"Yes",'TO Observations'!$AN$2:$AN$201,"Yes")/C3)</x:f>
        <x:v>0</x:v>
      </x:c>
      <x:c r="H3" t="n">
        <x:f>IF(C3=0,0,SUMIFS('TO Observations'!$K$2:$K$201,'TO Observations'!$X$2:$X$201,A3,'TO Observations'!$C$2:$C$201,B3,'TO Observations'!$AN$2:$AN$201,"Yes")/C3)</x:f>
        <x:v>0</x:v>
      </x:c>
      <x:c r="I3" t="n">
        <x:f>'Volume Validation'!D3</x:f>
        <x:v>0</x:v>
      </x:c>
      <x:c r="J3" t="n">
        <x:f>'Volume Validation'!E3</x:f>
        <x:v>0</x:v>
      </x:c>
      <x:c r="K3" t="n">
        <x:f>'Volume Validation'!F3</x:f>
        <x:v>220</x:v>
      </x:c>
      <x:c r="L3" s="40" t="n">
        <x:f>IFERROR(INDEX('Role Cost Assumptions'!$B$2:$B$10,MATCH(B3,'Role Cost Assumptions'!$A$2:$A$10,0)),25)</x:f>
        <x:v>25</x:v>
      </x:c>
      <x:c r="M3" t="n">
        <x:f>'Volume Validation'!G3</x:f>
        <x:v>0</x:v>
      </x:c>
      <x:c r="N3" t="n">
        <x:f>IF('Volume Validation'!J3="Yes",I3*J3*K3,0)</x:f>
        <x:v>0</x:v>
      </x:c>
      <x:c r="O3" s="24" t="n">
        <x:f>N3*(D3+E3)/60*L3</x:f>
        <x:v>0</x:v>
      </x:c>
      <x:c r="P3" t="str">
        <x:f>IF(A3="","",IF('Volume Validation'!J3&lt;&gt;"Yes","HOLD - VOLUME UNVALIDATED",IF(C3&lt;5,"HOLD - LOW TIMING SAMPLE","PROVISIONAL RANKING READY")))</x:f>
      </x:c>
    </x:row>
    <x:row r="4">
      <x:c r="A4" t="n">
        <x:f>'Volume Validation'!A4</x:f>
        <x:v>0</x:v>
      </x:c>
      <x:c r="B4" t="n">
        <x:f>'Volume Validation'!B4</x:f>
        <x:v>0</x:v>
      </x:c>
      <x:c r="C4" t="n">
        <x:f>IF(A4="",0,COUNTIFS('TO Observations'!$X$2:$X$201,A4,'TO Observations'!$C$2:$C$201,B4,'TO Observations'!$AN$2:$AN$201,"Yes"))</x:f>
        <x:v>0</x:v>
      </x:c>
      <x:c r="D4" t="n">
        <x:f>IF(C4=0,0,SUMIFS('TO Observations'!$H$2:$H$201,'TO Observations'!$X$2:$X$201,A4,'TO Observations'!$C$2:$C$201,B4,'TO Observations'!$AN$2:$AN$201,"Yes")/C4)</x:f>
        <x:v>0</x:v>
      </x:c>
      <x:c r="E4" t="n">
        <x:f>IF(C4=0,0,SUMIFS('TO Observations'!$Q$2:$Q$201,'TO Observations'!$X$2:$X$201,A4,'TO Observations'!$C$2:$C$201,B4,'TO Observations'!$AN$2:$AN$201,"Yes")/C4)</x:f>
        <x:v>0</x:v>
      </x:c>
      <x:c r="F4" s="59" t="n">
        <x:f>IF(C4=0,0,COUNTIFS('TO Observations'!$X$2:$X$201,A4,'TO Observations'!$C$2:$C$201,B4,'TO Observations'!$O$2:$O$201,"Yes",'TO Observations'!$AN$2:$AN$201,"Yes")/C4)</x:f>
        <x:v>0</x:v>
      </x:c>
      <x:c r="G4" s="59" t="n">
        <x:f>IF(C4=0,0,COUNTIFS('TO Observations'!$X$2:$X$201,A4,'TO Observations'!$C$2:$C$201,B4,'TO Observations'!$P$2:$P$201,"Yes",'TO Observations'!$AN$2:$AN$201,"Yes")/C4)</x:f>
        <x:v>0</x:v>
      </x:c>
      <x:c r="H4" t="n">
        <x:f>IF(C4=0,0,SUMIFS('TO Observations'!$K$2:$K$201,'TO Observations'!$X$2:$X$201,A4,'TO Observations'!$C$2:$C$201,B4,'TO Observations'!$AN$2:$AN$201,"Yes")/C4)</x:f>
        <x:v>0</x:v>
      </x:c>
      <x:c r="I4" t="n">
        <x:f>'Volume Validation'!D4</x:f>
        <x:v>0</x:v>
      </x:c>
      <x:c r="J4" t="n">
        <x:f>'Volume Validation'!E4</x:f>
        <x:v>0</x:v>
      </x:c>
      <x:c r="K4" t="n">
        <x:f>'Volume Validation'!F4</x:f>
        <x:v>220</x:v>
      </x:c>
      <x:c r="L4" s="40" t="n">
        <x:f>IFERROR(INDEX('Role Cost Assumptions'!$B$2:$B$10,MATCH(B4,'Role Cost Assumptions'!$A$2:$A$10,0)),25)</x:f>
        <x:v>25</x:v>
      </x:c>
      <x:c r="M4" t="n">
        <x:f>'Volume Validation'!G4</x:f>
        <x:v>0</x:v>
      </x:c>
      <x:c r="N4" t="n">
        <x:f>IF('Volume Validation'!J4="Yes",I4*J4*K4,0)</x:f>
        <x:v>0</x:v>
      </x:c>
      <x:c r="O4" s="24" t="n">
        <x:f>N4*(D4+E4)/60*L4</x:f>
        <x:v>0</x:v>
      </x:c>
      <x:c r="P4" t="str">
        <x:f>IF(A4="","",IF('Volume Validation'!J4&lt;&gt;"Yes","HOLD - VOLUME UNVALIDATED",IF(C4&lt;5,"HOLD - LOW TIMING SAMPLE","PROVISIONAL RANKING READY")))</x:f>
      </x:c>
    </x:row>
    <x:row r="5">
      <x:c r="A5" t="n">
        <x:f>'Volume Validation'!A5</x:f>
        <x:v>0</x:v>
      </x:c>
      <x:c r="B5" t="n">
        <x:f>'Volume Validation'!B5</x:f>
        <x:v>0</x:v>
      </x:c>
      <x:c r="C5" t="n">
        <x:f>IF(A5="",0,COUNTIFS('TO Observations'!$X$2:$X$201,A5,'TO Observations'!$C$2:$C$201,B5,'TO Observations'!$AN$2:$AN$201,"Yes"))</x:f>
        <x:v>0</x:v>
      </x:c>
      <x:c r="D5" t="n">
        <x:f>IF(C5=0,0,SUMIFS('TO Observations'!$H$2:$H$201,'TO Observations'!$X$2:$X$201,A5,'TO Observations'!$C$2:$C$201,B5,'TO Observations'!$AN$2:$AN$201,"Yes")/C5)</x:f>
        <x:v>0</x:v>
      </x:c>
      <x:c r="E5" t="n">
        <x:f>IF(C5=0,0,SUMIFS('TO Observations'!$Q$2:$Q$201,'TO Observations'!$X$2:$X$201,A5,'TO Observations'!$C$2:$C$201,B5,'TO Observations'!$AN$2:$AN$201,"Yes")/C5)</x:f>
        <x:v>0</x:v>
      </x:c>
      <x:c r="F5" s="59" t="n">
        <x:f>IF(C5=0,0,COUNTIFS('TO Observations'!$X$2:$X$201,A5,'TO Observations'!$C$2:$C$201,B5,'TO Observations'!$O$2:$O$201,"Yes",'TO Observations'!$AN$2:$AN$201,"Yes")/C5)</x:f>
        <x:v>0</x:v>
      </x:c>
      <x:c r="G5" s="59" t="n">
        <x:f>IF(C5=0,0,COUNTIFS('TO Observations'!$X$2:$X$201,A5,'TO Observations'!$C$2:$C$201,B5,'TO Observations'!$P$2:$P$201,"Yes",'TO Observations'!$AN$2:$AN$201,"Yes")/C5)</x:f>
        <x:v>0</x:v>
      </x:c>
      <x:c r="H5" t="n">
        <x:f>IF(C5=0,0,SUMIFS('TO Observations'!$K$2:$K$201,'TO Observations'!$X$2:$X$201,A5,'TO Observations'!$C$2:$C$201,B5,'TO Observations'!$AN$2:$AN$201,"Yes")/C5)</x:f>
        <x:v>0</x:v>
      </x:c>
      <x:c r="I5" t="n">
        <x:f>'Volume Validation'!D5</x:f>
        <x:v>0</x:v>
      </x:c>
      <x:c r="J5" t="n">
        <x:f>'Volume Validation'!E5</x:f>
        <x:v>0</x:v>
      </x:c>
      <x:c r="K5" t="n">
        <x:f>'Volume Validation'!F5</x:f>
        <x:v>220</x:v>
      </x:c>
      <x:c r="L5" s="40" t="n">
        <x:f>IFERROR(INDEX('Role Cost Assumptions'!$B$2:$B$10,MATCH(B5,'Role Cost Assumptions'!$A$2:$A$10,0)),25)</x:f>
        <x:v>25</x:v>
      </x:c>
      <x:c r="M5" t="n">
        <x:f>'Volume Validation'!G5</x:f>
        <x:v>0</x:v>
      </x:c>
      <x:c r="N5" t="n">
        <x:f>IF('Volume Validation'!J5="Yes",I5*J5*K5,0)</x:f>
        <x:v>0</x:v>
      </x:c>
      <x:c r="O5" s="24" t="n">
        <x:f>N5*(D5+E5)/60*L5</x:f>
        <x:v>0</x:v>
      </x:c>
      <x:c r="P5" t="str">
        <x:f>IF(A5="","",IF('Volume Validation'!J5&lt;&gt;"Yes","HOLD - VOLUME UNVALIDATED",IF(C5&lt;5,"HOLD - LOW TIMING SAMPLE","PROVISIONAL RANKING READY")))</x:f>
      </x:c>
    </x:row>
    <x:row r="6">
      <x:c r="A6" t="n">
        <x:f>'Volume Validation'!A6</x:f>
        <x:v>0</x:v>
      </x:c>
      <x:c r="B6" t="n">
        <x:f>'Volume Validation'!B6</x:f>
        <x:v>0</x:v>
      </x:c>
      <x:c r="C6" t="n">
        <x:f>IF(A6="",0,COUNTIFS('TO Observations'!$X$2:$X$201,A6,'TO Observations'!$C$2:$C$201,B6,'TO Observations'!$AN$2:$AN$201,"Yes"))</x:f>
        <x:v>0</x:v>
      </x:c>
      <x:c r="D6" t="n">
        <x:f>IF(C6=0,0,SUMIFS('TO Observations'!$H$2:$H$201,'TO Observations'!$X$2:$X$201,A6,'TO Observations'!$C$2:$C$201,B6,'TO Observations'!$AN$2:$AN$201,"Yes")/C6)</x:f>
        <x:v>0</x:v>
      </x:c>
      <x:c r="E6" t="n">
        <x:f>IF(C6=0,0,SUMIFS('TO Observations'!$Q$2:$Q$201,'TO Observations'!$X$2:$X$201,A6,'TO Observations'!$C$2:$C$201,B6,'TO Observations'!$AN$2:$AN$201,"Yes")/C6)</x:f>
        <x:v>0</x:v>
      </x:c>
      <x:c r="F6" s="59" t="n">
        <x:f>IF(C6=0,0,COUNTIFS('TO Observations'!$X$2:$X$201,A6,'TO Observations'!$C$2:$C$201,B6,'TO Observations'!$O$2:$O$201,"Yes",'TO Observations'!$AN$2:$AN$201,"Yes")/C6)</x:f>
        <x:v>0</x:v>
      </x:c>
      <x:c r="G6" s="59" t="n">
        <x:f>IF(C6=0,0,COUNTIFS('TO Observations'!$X$2:$X$201,A6,'TO Observations'!$C$2:$C$201,B6,'TO Observations'!$P$2:$P$201,"Yes",'TO Observations'!$AN$2:$AN$201,"Yes")/C6)</x:f>
        <x:v>0</x:v>
      </x:c>
      <x:c r="H6" t="n">
        <x:f>IF(C6=0,0,SUMIFS('TO Observations'!$K$2:$K$201,'TO Observations'!$X$2:$X$201,A6,'TO Observations'!$C$2:$C$201,B6,'TO Observations'!$AN$2:$AN$201,"Yes")/C6)</x:f>
        <x:v>0</x:v>
      </x:c>
      <x:c r="I6" t="n">
        <x:f>'Volume Validation'!D6</x:f>
        <x:v>0</x:v>
      </x:c>
      <x:c r="J6" t="n">
        <x:f>'Volume Validation'!E6</x:f>
        <x:v>0</x:v>
      </x:c>
      <x:c r="K6" t="n">
        <x:f>'Volume Validation'!F6</x:f>
        <x:v>220</x:v>
      </x:c>
      <x:c r="L6" s="40" t="n">
        <x:f>IFERROR(INDEX('Role Cost Assumptions'!$B$2:$B$10,MATCH(B6,'Role Cost Assumptions'!$A$2:$A$10,0)),25)</x:f>
        <x:v>25</x:v>
      </x:c>
      <x:c r="M6" t="n">
        <x:f>'Volume Validation'!G6</x:f>
        <x:v>0</x:v>
      </x:c>
      <x:c r="N6" t="n">
        <x:f>IF('Volume Validation'!J6="Yes",I6*J6*K6,0)</x:f>
        <x:v>0</x:v>
      </x:c>
      <x:c r="O6" s="24" t="n">
        <x:f>N6*(D6+E6)/60*L6</x:f>
        <x:v>0</x:v>
      </x:c>
      <x:c r="P6" t="str">
        <x:f>IF(A6="","",IF('Volume Validation'!J6&lt;&gt;"Yes","HOLD - VOLUME UNVALIDATED",IF(C6&lt;5,"HOLD - LOW TIMING SAMPLE","PROVISIONAL RANKING READY")))</x:f>
      </x:c>
    </x:row>
    <x:row r="7">
      <x:c r="A7" t="n">
        <x:f>'Volume Validation'!A7</x:f>
        <x:v>0</x:v>
      </x:c>
      <x:c r="B7" t="n">
        <x:f>'Volume Validation'!B7</x:f>
        <x:v>0</x:v>
      </x:c>
      <x:c r="C7" t="n">
        <x:f>IF(A7="",0,COUNTIFS('TO Observations'!$X$2:$X$201,A7,'TO Observations'!$C$2:$C$201,B7,'TO Observations'!$AN$2:$AN$201,"Yes"))</x:f>
        <x:v>0</x:v>
      </x:c>
      <x:c r="D7" t="n">
        <x:f>IF(C7=0,0,SUMIFS('TO Observations'!$H$2:$H$201,'TO Observations'!$X$2:$X$201,A7,'TO Observations'!$C$2:$C$201,B7,'TO Observations'!$AN$2:$AN$201,"Yes")/C7)</x:f>
        <x:v>0</x:v>
      </x:c>
      <x:c r="E7" t="n">
        <x:f>IF(C7=0,0,SUMIFS('TO Observations'!$Q$2:$Q$201,'TO Observations'!$X$2:$X$201,A7,'TO Observations'!$C$2:$C$201,B7,'TO Observations'!$AN$2:$AN$201,"Yes")/C7)</x:f>
        <x:v>0</x:v>
      </x:c>
      <x:c r="F7" s="59" t="n">
        <x:f>IF(C7=0,0,COUNTIFS('TO Observations'!$X$2:$X$201,A7,'TO Observations'!$C$2:$C$201,B7,'TO Observations'!$O$2:$O$201,"Yes",'TO Observations'!$AN$2:$AN$201,"Yes")/C7)</x:f>
        <x:v>0</x:v>
      </x:c>
      <x:c r="G7" s="59" t="n">
        <x:f>IF(C7=0,0,COUNTIFS('TO Observations'!$X$2:$X$201,A7,'TO Observations'!$C$2:$C$201,B7,'TO Observations'!$P$2:$P$201,"Yes",'TO Observations'!$AN$2:$AN$201,"Yes")/C7)</x:f>
        <x:v>0</x:v>
      </x:c>
      <x:c r="H7" t="n">
        <x:f>IF(C7=0,0,SUMIFS('TO Observations'!$K$2:$K$201,'TO Observations'!$X$2:$X$201,A7,'TO Observations'!$C$2:$C$201,B7,'TO Observations'!$AN$2:$AN$201,"Yes")/C7)</x:f>
        <x:v>0</x:v>
      </x:c>
      <x:c r="I7" t="n">
        <x:f>'Volume Validation'!D7</x:f>
        <x:v>0</x:v>
      </x:c>
      <x:c r="J7" t="n">
        <x:f>'Volume Validation'!E7</x:f>
        <x:v>0</x:v>
      </x:c>
      <x:c r="K7" t="n">
        <x:f>'Volume Validation'!F7</x:f>
        <x:v>220</x:v>
      </x:c>
      <x:c r="L7" s="40" t="n">
        <x:f>IFERROR(INDEX('Role Cost Assumptions'!$B$2:$B$10,MATCH(B7,'Role Cost Assumptions'!$A$2:$A$10,0)),25)</x:f>
        <x:v>25</x:v>
      </x:c>
      <x:c r="M7" t="n">
        <x:f>'Volume Validation'!G7</x:f>
        <x:v>0</x:v>
      </x:c>
      <x:c r="N7" t="n">
        <x:f>IF('Volume Validation'!J7="Yes",I7*J7*K7,0)</x:f>
        <x:v>0</x:v>
      </x:c>
      <x:c r="O7" s="24" t="n">
        <x:f>N7*(D7+E7)/60*L7</x:f>
        <x:v>0</x:v>
      </x:c>
      <x:c r="P7" t="str">
        <x:f>IF(A7="","",IF('Volume Validation'!J7&lt;&gt;"Yes","HOLD - VOLUME UNVALIDATED",IF(C7&lt;5,"HOLD - LOW TIMING SAMPLE","PROVISIONAL RANKING READY")))</x:f>
      </x:c>
    </x:row>
    <x:row r="8">
      <x:c r="A8" t="n">
        <x:f>'Volume Validation'!A8</x:f>
        <x:v>0</x:v>
      </x:c>
      <x:c r="B8" t="n">
        <x:f>'Volume Validation'!B8</x:f>
        <x:v>0</x:v>
      </x:c>
      <x:c r="C8" t="n">
        <x:f>IF(A8="",0,COUNTIFS('TO Observations'!$X$2:$X$201,A8,'TO Observations'!$C$2:$C$201,B8,'TO Observations'!$AN$2:$AN$201,"Yes"))</x:f>
        <x:v>0</x:v>
      </x:c>
      <x:c r="D8" t="n">
        <x:f>IF(C8=0,0,SUMIFS('TO Observations'!$H$2:$H$201,'TO Observations'!$X$2:$X$201,A8,'TO Observations'!$C$2:$C$201,B8,'TO Observations'!$AN$2:$AN$201,"Yes")/C8)</x:f>
        <x:v>0</x:v>
      </x:c>
      <x:c r="E8" t="n">
        <x:f>IF(C8=0,0,SUMIFS('TO Observations'!$Q$2:$Q$201,'TO Observations'!$X$2:$X$201,A8,'TO Observations'!$C$2:$C$201,B8,'TO Observations'!$AN$2:$AN$201,"Yes")/C8)</x:f>
        <x:v>0</x:v>
      </x:c>
      <x:c r="F8" s="59" t="n">
        <x:f>IF(C8=0,0,COUNTIFS('TO Observations'!$X$2:$X$201,A8,'TO Observations'!$C$2:$C$201,B8,'TO Observations'!$O$2:$O$201,"Yes",'TO Observations'!$AN$2:$AN$201,"Yes")/C8)</x:f>
        <x:v>0</x:v>
      </x:c>
      <x:c r="G8" s="59" t="n">
        <x:f>IF(C8=0,0,COUNTIFS('TO Observations'!$X$2:$X$201,A8,'TO Observations'!$C$2:$C$201,B8,'TO Observations'!$P$2:$P$201,"Yes",'TO Observations'!$AN$2:$AN$201,"Yes")/C8)</x:f>
        <x:v>0</x:v>
      </x:c>
      <x:c r="H8" t="n">
        <x:f>IF(C8=0,0,SUMIFS('TO Observations'!$K$2:$K$201,'TO Observations'!$X$2:$X$201,A8,'TO Observations'!$C$2:$C$201,B8,'TO Observations'!$AN$2:$AN$201,"Yes")/C8)</x:f>
        <x:v>0</x:v>
      </x:c>
      <x:c r="I8" t="n">
        <x:f>'Volume Validation'!D8</x:f>
        <x:v>0</x:v>
      </x:c>
      <x:c r="J8" t="n">
        <x:f>'Volume Validation'!E8</x:f>
        <x:v>0</x:v>
      </x:c>
      <x:c r="K8" t="n">
        <x:f>'Volume Validation'!F8</x:f>
        <x:v>220</x:v>
      </x:c>
      <x:c r="L8" s="40" t="n">
        <x:f>IFERROR(INDEX('Role Cost Assumptions'!$B$2:$B$10,MATCH(B8,'Role Cost Assumptions'!$A$2:$A$10,0)),25)</x:f>
        <x:v>25</x:v>
      </x:c>
      <x:c r="M8" t="n">
        <x:f>'Volume Validation'!G8</x:f>
        <x:v>0</x:v>
      </x:c>
      <x:c r="N8" t="n">
        <x:f>IF('Volume Validation'!J8="Yes",I8*J8*K8,0)</x:f>
        <x:v>0</x:v>
      </x:c>
      <x:c r="O8" s="24" t="n">
        <x:f>N8*(D8+E8)/60*L8</x:f>
        <x:v>0</x:v>
      </x:c>
      <x:c r="P8" t="str">
        <x:f>IF(A8="","",IF('Volume Validation'!J8&lt;&gt;"Yes","HOLD - VOLUME UNVALIDATED",IF(C8&lt;5,"HOLD - LOW TIMING SAMPLE","PROVISIONAL RANKING READY")))</x:f>
      </x:c>
    </x:row>
    <x:row r="9">
      <x:c r="A9" t="n">
        <x:f>'Volume Validation'!A9</x:f>
        <x:v>0</x:v>
      </x:c>
      <x:c r="B9" t="n">
        <x:f>'Volume Validation'!B9</x:f>
        <x:v>0</x:v>
      </x:c>
      <x:c r="C9" t="n">
        <x:f>IF(A9="",0,COUNTIFS('TO Observations'!$X$2:$X$201,A9,'TO Observations'!$C$2:$C$201,B9,'TO Observations'!$AN$2:$AN$201,"Yes"))</x:f>
        <x:v>0</x:v>
      </x:c>
      <x:c r="D9" t="n">
        <x:f>IF(C9=0,0,SUMIFS('TO Observations'!$H$2:$H$201,'TO Observations'!$X$2:$X$201,A9,'TO Observations'!$C$2:$C$201,B9,'TO Observations'!$AN$2:$AN$201,"Yes")/C9)</x:f>
        <x:v>0</x:v>
      </x:c>
      <x:c r="E9" t="n">
        <x:f>IF(C9=0,0,SUMIFS('TO Observations'!$Q$2:$Q$201,'TO Observations'!$X$2:$X$201,A9,'TO Observations'!$C$2:$C$201,B9,'TO Observations'!$AN$2:$AN$201,"Yes")/C9)</x:f>
        <x:v>0</x:v>
      </x:c>
      <x:c r="F9" s="59" t="n">
        <x:f>IF(C9=0,0,COUNTIFS('TO Observations'!$X$2:$X$201,A9,'TO Observations'!$C$2:$C$201,B9,'TO Observations'!$O$2:$O$201,"Yes",'TO Observations'!$AN$2:$AN$201,"Yes")/C9)</x:f>
        <x:v>0</x:v>
      </x:c>
      <x:c r="G9" s="59" t="n">
        <x:f>IF(C9=0,0,COUNTIFS('TO Observations'!$X$2:$X$201,A9,'TO Observations'!$C$2:$C$201,B9,'TO Observations'!$P$2:$P$201,"Yes",'TO Observations'!$AN$2:$AN$201,"Yes")/C9)</x:f>
        <x:v>0</x:v>
      </x:c>
      <x:c r="H9" t="n">
        <x:f>IF(C9=0,0,SUMIFS('TO Observations'!$K$2:$K$201,'TO Observations'!$X$2:$X$201,A9,'TO Observations'!$C$2:$C$201,B9,'TO Observations'!$AN$2:$AN$201,"Yes")/C9)</x:f>
        <x:v>0</x:v>
      </x:c>
      <x:c r="I9" t="n">
        <x:f>'Volume Validation'!D9</x:f>
        <x:v>0</x:v>
      </x:c>
      <x:c r="J9" t="n">
        <x:f>'Volume Validation'!E9</x:f>
        <x:v>0</x:v>
      </x:c>
      <x:c r="K9" t="n">
        <x:f>'Volume Validation'!F9</x:f>
        <x:v>220</x:v>
      </x:c>
      <x:c r="L9" s="40" t="n">
        <x:f>IFERROR(INDEX('Role Cost Assumptions'!$B$2:$B$10,MATCH(B9,'Role Cost Assumptions'!$A$2:$A$10,0)),25)</x:f>
        <x:v>25</x:v>
      </x:c>
      <x:c r="M9" t="n">
        <x:f>'Volume Validation'!G9</x:f>
        <x:v>0</x:v>
      </x:c>
      <x:c r="N9" t="n">
        <x:f>IF('Volume Validation'!J9="Yes",I9*J9*K9,0)</x:f>
        <x:v>0</x:v>
      </x:c>
      <x:c r="O9" s="24" t="n">
        <x:f>N9*(D9+E9)/60*L9</x:f>
        <x:v>0</x:v>
      </x:c>
      <x:c r="P9" t="str">
        <x:f>IF(A9="","",IF('Volume Validation'!J9&lt;&gt;"Yes","HOLD - VOLUME UNVALIDATED",IF(C9&lt;5,"HOLD - LOW TIMING SAMPLE","PROVISIONAL RANKING READY")))</x:f>
      </x:c>
    </x:row>
    <x:row r="10">
      <x:c r="A10" t="n">
        <x:f>'Volume Validation'!A10</x:f>
        <x:v>0</x:v>
      </x:c>
      <x:c r="B10" t="n">
        <x:f>'Volume Validation'!B10</x:f>
        <x:v>0</x:v>
      </x:c>
      <x:c r="C10" t="n">
        <x:f>IF(A10="",0,COUNTIFS('TO Observations'!$X$2:$X$201,A10,'TO Observations'!$C$2:$C$201,B10,'TO Observations'!$AN$2:$AN$201,"Yes"))</x:f>
        <x:v>0</x:v>
      </x:c>
      <x:c r="D10" t="n">
        <x:f>IF(C10=0,0,SUMIFS('TO Observations'!$H$2:$H$201,'TO Observations'!$X$2:$X$201,A10,'TO Observations'!$C$2:$C$201,B10,'TO Observations'!$AN$2:$AN$201,"Yes")/C10)</x:f>
        <x:v>0</x:v>
      </x:c>
      <x:c r="E10" t="n">
        <x:f>IF(C10=0,0,SUMIFS('TO Observations'!$Q$2:$Q$201,'TO Observations'!$X$2:$X$201,A10,'TO Observations'!$C$2:$C$201,B10,'TO Observations'!$AN$2:$AN$201,"Yes")/C10)</x:f>
        <x:v>0</x:v>
      </x:c>
      <x:c r="F10" s="59" t="n">
        <x:f>IF(C10=0,0,COUNTIFS('TO Observations'!$X$2:$X$201,A10,'TO Observations'!$C$2:$C$201,B10,'TO Observations'!$O$2:$O$201,"Yes",'TO Observations'!$AN$2:$AN$201,"Yes")/C10)</x:f>
        <x:v>0</x:v>
      </x:c>
      <x:c r="G10" s="59" t="n">
        <x:f>IF(C10=0,0,COUNTIFS('TO Observations'!$X$2:$X$201,A10,'TO Observations'!$C$2:$C$201,B10,'TO Observations'!$P$2:$P$201,"Yes",'TO Observations'!$AN$2:$AN$201,"Yes")/C10)</x:f>
        <x:v>0</x:v>
      </x:c>
      <x:c r="H10" t="n">
        <x:f>IF(C10=0,0,SUMIFS('TO Observations'!$K$2:$K$201,'TO Observations'!$X$2:$X$201,A10,'TO Observations'!$C$2:$C$201,B10,'TO Observations'!$AN$2:$AN$201,"Yes")/C10)</x:f>
        <x:v>0</x:v>
      </x:c>
      <x:c r="I10" t="n">
        <x:f>'Volume Validation'!D10</x:f>
        <x:v>0</x:v>
      </x:c>
      <x:c r="J10" t="n">
        <x:f>'Volume Validation'!E10</x:f>
        <x:v>0</x:v>
      </x:c>
      <x:c r="K10" t="n">
        <x:f>'Volume Validation'!F10</x:f>
        <x:v>220</x:v>
      </x:c>
      <x:c r="L10" s="40" t="n">
        <x:f>IFERROR(INDEX('Role Cost Assumptions'!$B$2:$B$10,MATCH(B10,'Role Cost Assumptions'!$A$2:$A$10,0)),25)</x:f>
        <x:v>25</x:v>
      </x:c>
      <x:c r="M10" t="n">
        <x:f>'Volume Validation'!G10</x:f>
        <x:v>0</x:v>
      </x:c>
      <x:c r="N10" t="n">
        <x:f>IF('Volume Validation'!J10="Yes",I10*J10*K10,0)</x:f>
        <x:v>0</x:v>
      </x:c>
      <x:c r="O10" s="24" t="n">
        <x:f>N10*(D10+E10)/60*L10</x:f>
        <x:v>0</x:v>
      </x:c>
      <x:c r="P10" t="str">
        <x:f>IF(A10="","",IF('Volume Validation'!J10&lt;&gt;"Yes","HOLD - VOLUME UNVALIDATED",IF(C10&lt;5,"HOLD - LOW TIMING SAMPLE","PROVISIONAL RANKING READY")))</x:f>
      </x:c>
    </x:row>
    <x:row r="11">
      <x:c r="A11" t="n">
        <x:f>'Volume Validation'!A11</x:f>
        <x:v>0</x:v>
      </x:c>
      <x:c r="B11" t="n">
        <x:f>'Volume Validation'!B11</x:f>
        <x:v>0</x:v>
      </x:c>
      <x:c r="C11" t="n">
        <x:f>IF(A11="",0,COUNTIFS('TO Observations'!$X$2:$X$201,A11,'TO Observations'!$C$2:$C$201,B11,'TO Observations'!$AN$2:$AN$201,"Yes"))</x:f>
        <x:v>0</x:v>
      </x:c>
      <x:c r="D11" t="n">
        <x:f>IF(C11=0,0,SUMIFS('TO Observations'!$H$2:$H$201,'TO Observations'!$X$2:$X$201,A11,'TO Observations'!$C$2:$C$201,B11,'TO Observations'!$AN$2:$AN$201,"Yes")/C11)</x:f>
        <x:v>0</x:v>
      </x:c>
      <x:c r="E11" t="n">
        <x:f>IF(C11=0,0,SUMIFS('TO Observations'!$Q$2:$Q$201,'TO Observations'!$X$2:$X$201,A11,'TO Observations'!$C$2:$C$201,B11,'TO Observations'!$AN$2:$AN$201,"Yes")/C11)</x:f>
        <x:v>0</x:v>
      </x:c>
      <x:c r="F11" s="59" t="n">
        <x:f>IF(C11=0,0,COUNTIFS('TO Observations'!$X$2:$X$201,A11,'TO Observations'!$C$2:$C$201,B11,'TO Observations'!$O$2:$O$201,"Yes",'TO Observations'!$AN$2:$AN$201,"Yes")/C11)</x:f>
        <x:v>0</x:v>
      </x:c>
      <x:c r="G11" s="59" t="n">
        <x:f>IF(C11=0,0,COUNTIFS('TO Observations'!$X$2:$X$201,A11,'TO Observations'!$C$2:$C$201,B11,'TO Observations'!$P$2:$P$201,"Yes",'TO Observations'!$AN$2:$AN$201,"Yes")/C11)</x:f>
        <x:v>0</x:v>
      </x:c>
      <x:c r="H11" t="n">
        <x:f>IF(C11=0,0,SUMIFS('TO Observations'!$K$2:$K$201,'TO Observations'!$X$2:$X$201,A11,'TO Observations'!$C$2:$C$201,B11,'TO Observations'!$AN$2:$AN$201,"Yes")/C11)</x:f>
        <x:v>0</x:v>
      </x:c>
      <x:c r="I11" t="n">
        <x:f>'Volume Validation'!D11</x:f>
        <x:v>0</x:v>
      </x:c>
      <x:c r="J11" t="n">
        <x:f>'Volume Validation'!E11</x:f>
        <x:v>0</x:v>
      </x:c>
      <x:c r="K11" t="n">
        <x:f>'Volume Validation'!F11</x:f>
        <x:v>220</x:v>
      </x:c>
      <x:c r="L11" s="40" t="n">
        <x:f>IFERROR(INDEX('Role Cost Assumptions'!$B$2:$B$10,MATCH(B11,'Role Cost Assumptions'!$A$2:$A$10,0)),25)</x:f>
        <x:v>25</x:v>
      </x:c>
      <x:c r="M11" t="n">
        <x:f>'Volume Validation'!G11</x:f>
        <x:v>0</x:v>
      </x:c>
      <x:c r="N11" t="n">
        <x:f>IF('Volume Validation'!J11="Yes",I11*J11*K11,0)</x:f>
        <x:v>0</x:v>
      </x:c>
      <x:c r="O11" s="24" t="n">
        <x:f>N11*(D11+E11)/60*L11</x:f>
        <x:v>0</x:v>
      </x:c>
      <x:c r="P11" t="str">
        <x:f>IF(A11="","",IF('Volume Validation'!J11&lt;&gt;"Yes","HOLD - VOLUME UNVALIDATED",IF(C11&lt;5,"HOLD - LOW TIMING SAMPLE","PROVISIONAL RANKING READY")))</x:f>
      </x:c>
    </x:row>
    <x:row r="12">
      <x:c r="A12" t="n">
        <x:f>'Volume Validation'!A12</x:f>
        <x:v>0</x:v>
      </x:c>
      <x:c r="B12" t="n">
        <x:f>'Volume Validation'!B12</x:f>
        <x:v>0</x:v>
      </x:c>
      <x:c r="C12" t="n">
        <x:f>IF(A12="",0,COUNTIFS('TO Observations'!$X$2:$X$201,A12,'TO Observations'!$C$2:$C$201,B12,'TO Observations'!$AN$2:$AN$201,"Yes"))</x:f>
        <x:v>0</x:v>
      </x:c>
      <x:c r="D12" t="n">
        <x:f>IF(C12=0,0,SUMIFS('TO Observations'!$H$2:$H$201,'TO Observations'!$X$2:$X$201,A12,'TO Observations'!$C$2:$C$201,B12,'TO Observations'!$AN$2:$AN$201,"Yes")/C12)</x:f>
        <x:v>0</x:v>
      </x:c>
      <x:c r="E12" t="n">
        <x:f>IF(C12=0,0,SUMIFS('TO Observations'!$Q$2:$Q$201,'TO Observations'!$X$2:$X$201,A12,'TO Observations'!$C$2:$C$201,B12,'TO Observations'!$AN$2:$AN$201,"Yes")/C12)</x:f>
        <x:v>0</x:v>
      </x:c>
      <x:c r="F12" s="59" t="n">
        <x:f>IF(C12=0,0,COUNTIFS('TO Observations'!$X$2:$X$201,A12,'TO Observations'!$C$2:$C$201,B12,'TO Observations'!$O$2:$O$201,"Yes",'TO Observations'!$AN$2:$AN$201,"Yes")/C12)</x:f>
        <x:v>0</x:v>
      </x:c>
      <x:c r="G12" s="59" t="n">
        <x:f>IF(C12=0,0,COUNTIFS('TO Observations'!$X$2:$X$201,A12,'TO Observations'!$C$2:$C$201,B12,'TO Observations'!$P$2:$P$201,"Yes",'TO Observations'!$AN$2:$AN$201,"Yes")/C12)</x:f>
        <x:v>0</x:v>
      </x:c>
      <x:c r="H12" t="n">
        <x:f>IF(C12=0,0,SUMIFS('TO Observations'!$K$2:$K$201,'TO Observations'!$X$2:$X$201,A12,'TO Observations'!$C$2:$C$201,B12,'TO Observations'!$AN$2:$AN$201,"Yes")/C12)</x:f>
        <x:v>0</x:v>
      </x:c>
      <x:c r="I12" t="n">
        <x:f>'Volume Validation'!D12</x:f>
        <x:v>0</x:v>
      </x:c>
      <x:c r="J12" t="n">
        <x:f>'Volume Validation'!E12</x:f>
        <x:v>0</x:v>
      </x:c>
      <x:c r="K12" t="n">
        <x:f>'Volume Validation'!F12</x:f>
        <x:v>220</x:v>
      </x:c>
      <x:c r="L12" s="40" t="n">
        <x:f>IFERROR(INDEX('Role Cost Assumptions'!$B$2:$B$10,MATCH(B12,'Role Cost Assumptions'!$A$2:$A$10,0)),25)</x:f>
        <x:v>25</x:v>
      </x:c>
      <x:c r="M12" t="n">
        <x:f>'Volume Validation'!G12</x:f>
        <x:v>0</x:v>
      </x:c>
      <x:c r="N12" t="n">
        <x:f>IF('Volume Validation'!J12="Yes",I12*J12*K12,0)</x:f>
        <x:v>0</x:v>
      </x:c>
      <x:c r="O12" s="24" t="n">
        <x:f>N12*(D12+E12)/60*L12</x:f>
        <x:v>0</x:v>
      </x:c>
      <x:c r="P12" t="str">
        <x:f>IF(A12="","",IF('Volume Validation'!J12&lt;&gt;"Yes","HOLD - VOLUME UNVALIDATED",IF(C12&lt;5,"HOLD - LOW TIMING SAMPLE","PROVISIONAL RANKING READY")))</x:f>
      </x:c>
    </x:row>
    <x:row r="13">
      <x:c r="A13" t="n">
        <x:f>'Volume Validation'!A13</x:f>
        <x:v>0</x:v>
      </x:c>
      <x:c r="B13" t="n">
        <x:f>'Volume Validation'!B13</x:f>
        <x:v>0</x:v>
      </x:c>
      <x:c r="C13" t="n">
        <x:f>IF(A13="",0,COUNTIFS('TO Observations'!$X$2:$X$201,A13,'TO Observations'!$C$2:$C$201,B13,'TO Observations'!$AN$2:$AN$201,"Yes"))</x:f>
        <x:v>0</x:v>
      </x:c>
      <x:c r="D13" t="n">
        <x:f>IF(C13=0,0,SUMIFS('TO Observations'!$H$2:$H$201,'TO Observations'!$X$2:$X$201,A13,'TO Observations'!$C$2:$C$201,B13,'TO Observations'!$AN$2:$AN$201,"Yes")/C13)</x:f>
        <x:v>0</x:v>
      </x:c>
      <x:c r="E13" t="n">
        <x:f>IF(C13=0,0,SUMIFS('TO Observations'!$Q$2:$Q$201,'TO Observations'!$X$2:$X$201,A13,'TO Observations'!$C$2:$C$201,B13,'TO Observations'!$AN$2:$AN$201,"Yes")/C13)</x:f>
        <x:v>0</x:v>
      </x:c>
      <x:c r="F13" s="59" t="n">
        <x:f>IF(C13=0,0,COUNTIFS('TO Observations'!$X$2:$X$201,A13,'TO Observations'!$C$2:$C$201,B13,'TO Observations'!$O$2:$O$201,"Yes",'TO Observations'!$AN$2:$AN$201,"Yes")/C13)</x:f>
        <x:v>0</x:v>
      </x:c>
      <x:c r="G13" s="59" t="n">
        <x:f>IF(C13=0,0,COUNTIFS('TO Observations'!$X$2:$X$201,A13,'TO Observations'!$C$2:$C$201,B13,'TO Observations'!$P$2:$P$201,"Yes",'TO Observations'!$AN$2:$AN$201,"Yes")/C13)</x:f>
        <x:v>0</x:v>
      </x:c>
      <x:c r="H13" t="n">
        <x:f>IF(C13=0,0,SUMIFS('TO Observations'!$K$2:$K$201,'TO Observations'!$X$2:$X$201,A13,'TO Observations'!$C$2:$C$201,B13,'TO Observations'!$AN$2:$AN$201,"Yes")/C13)</x:f>
        <x:v>0</x:v>
      </x:c>
      <x:c r="I13" t="n">
        <x:f>'Volume Validation'!D13</x:f>
        <x:v>0</x:v>
      </x:c>
      <x:c r="J13" t="n">
        <x:f>'Volume Validation'!E13</x:f>
        <x:v>0</x:v>
      </x:c>
      <x:c r="K13" t="n">
        <x:f>'Volume Validation'!F13</x:f>
        <x:v>220</x:v>
      </x:c>
      <x:c r="L13" s="40" t="n">
        <x:f>IFERROR(INDEX('Role Cost Assumptions'!$B$2:$B$10,MATCH(B13,'Role Cost Assumptions'!$A$2:$A$10,0)),25)</x:f>
        <x:v>25</x:v>
      </x:c>
      <x:c r="M13" t="n">
        <x:f>'Volume Validation'!G13</x:f>
        <x:v>0</x:v>
      </x:c>
      <x:c r="N13" t="n">
        <x:f>IF('Volume Validation'!J13="Yes",I13*J13*K13,0)</x:f>
        <x:v>0</x:v>
      </x:c>
      <x:c r="O13" s="24" t="n">
        <x:f>N13*(D13+E13)/60*L13</x:f>
        <x:v>0</x:v>
      </x:c>
      <x:c r="P13" t="str">
        <x:f>IF(A13="","",IF('Volume Validation'!J13&lt;&gt;"Yes","HOLD - VOLUME UNVALIDATED",IF(C13&lt;5,"HOLD - LOW TIMING SAMPLE","PROVISIONAL RANKING READY")))</x:f>
      </x:c>
    </x:row>
    <x:row r="14">
      <x:c r="A14" t="n">
        <x:f>'Volume Validation'!A14</x:f>
        <x:v>0</x:v>
      </x:c>
      <x:c r="B14" t="n">
        <x:f>'Volume Validation'!B14</x:f>
        <x:v>0</x:v>
      </x:c>
      <x:c r="C14" t="n">
        <x:f>IF(A14="",0,COUNTIFS('TO Observations'!$X$2:$X$201,A14,'TO Observations'!$C$2:$C$201,B14,'TO Observations'!$AN$2:$AN$201,"Yes"))</x:f>
        <x:v>0</x:v>
      </x:c>
      <x:c r="D14" t="n">
        <x:f>IF(C14=0,0,SUMIFS('TO Observations'!$H$2:$H$201,'TO Observations'!$X$2:$X$201,A14,'TO Observations'!$C$2:$C$201,B14,'TO Observations'!$AN$2:$AN$201,"Yes")/C14)</x:f>
        <x:v>0</x:v>
      </x:c>
      <x:c r="E14" t="n">
        <x:f>IF(C14=0,0,SUMIFS('TO Observations'!$Q$2:$Q$201,'TO Observations'!$X$2:$X$201,A14,'TO Observations'!$C$2:$C$201,B14,'TO Observations'!$AN$2:$AN$201,"Yes")/C14)</x:f>
        <x:v>0</x:v>
      </x:c>
      <x:c r="F14" s="59" t="n">
        <x:f>IF(C14=0,0,COUNTIFS('TO Observations'!$X$2:$X$201,A14,'TO Observations'!$C$2:$C$201,B14,'TO Observations'!$O$2:$O$201,"Yes",'TO Observations'!$AN$2:$AN$201,"Yes")/C14)</x:f>
        <x:v>0</x:v>
      </x:c>
      <x:c r="G14" s="59" t="n">
        <x:f>IF(C14=0,0,COUNTIFS('TO Observations'!$X$2:$X$201,A14,'TO Observations'!$C$2:$C$201,B14,'TO Observations'!$P$2:$P$201,"Yes",'TO Observations'!$AN$2:$AN$201,"Yes")/C14)</x:f>
        <x:v>0</x:v>
      </x:c>
      <x:c r="H14" t="n">
        <x:f>IF(C14=0,0,SUMIFS('TO Observations'!$K$2:$K$201,'TO Observations'!$X$2:$X$201,A14,'TO Observations'!$C$2:$C$201,B14,'TO Observations'!$AN$2:$AN$201,"Yes")/C14)</x:f>
        <x:v>0</x:v>
      </x:c>
      <x:c r="I14" t="n">
        <x:f>'Volume Validation'!D14</x:f>
        <x:v>0</x:v>
      </x:c>
      <x:c r="J14" t="n">
        <x:f>'Volume Validation'!E14</x:f>
        <x:v>0</x:v>
      </x:c>
      <x:c r="K14" t="n">
        <x:f>'Volume Validation'!F14</x:f>
        <x:v>220</x:v>
      </x:c>
      <x:c r="L14" s="40" t="n">
        <x:f>IFERROR(INDEX('Role Cost Assumptions'!$B$2:$B$10,MATCH(B14,'Role Cost Assumptions'!$A$2:$A$10,0)),25)</x:f>
        <x:v>25</x:v>
      </x:c>
      <x:c r="M14" t="n">
        <x:f>'Volume Validation'!G14</x:f>
        <x:v>0</x:v>
      </x:c>
      <x:c r="N14" t="n">
        <x:f>IF('Volume Validation'!J14="Yes",I14*J14*K14,0)</x:f>
        <x:v>0</x:v>
      </x:c>
      <x:c r="O14" s="24" t="n">
        <x:f>N14*(D14+E14)/60*L14</x:f>
        <x:v>0</x:v>
      </x:c>
      <x:c r="P14" t="str">
        <x:f>IF(A14="","",IF('Volume Validation'!J14&lt;&gt;"Yes","HOLD - VOLUME UNVALIDATED",IF(C14&lt;5,"HOLD - LOW TIMING SAMPLE","PROVISIONAL RANKING READY")))</x:f>
      </x:c>
    </x:row>
    <x:row r="15">
      <x:c r="A15" t="n">
        <x:f>'Volume Validation'!A15</x:f>
        <x:v>0</x:v>
      </x:c>
      <x:c r="B15" t="n">
        <x:f>'Volume Validation'!B15</x:f>
        <x:v>0</x:v>
      </x:c>
      <x:c r="C15" t="n">
        <x:f>IF(A15="",0,COUNTIFS('TO Observations'!$X$2:$X$201,A15,'TO Observations'!$C$2:$C$201,B15,'TO Observations'!$AN$2:$AN$201,"Yes"))</x:f>
        <x:v>0</x:v>
      </x:c>
      <x:c r="D15" t="n">
        <x:f>IF(C15=0,0,SUMIFS('TO Observations'!$H$2:$H$201,'TO Observations'!$X$2:$X$201,A15,'TO Observations'!$C$2:$C$201,B15,'TO Observations'!$AN$2:$AN$201,"Yes")/C15)</x:f>
        <x:v>0</x:v>
      </x:c>
      <x:c r="E15" t="n">
        <x:f>IF(C15=0,0,SUMIFS('TO Observations'!$Q$2:$Q$201,'TO Observations'!$X$2:$X$201,A15,'TO Observations'!$C$2:$C$201,B15,'TO Observations'!$AN$2:$AN$201,"Yes")/C15)</x:f>
        <x:v>0</x:v>
      </x:c>
      <x:c r="F15" s="59" t="n">
        <x:f>IF(C15=0,0,COUNTIFS('TO Observations'!$X$2:$X$201,A15,'TO Observations'!$C$2:$C$201,B15,'TO Observations'!$O$2:$O$201,"Yes",'TO Observations'!$AN$2:$AN$201,"Yes")/C15)</x:f>
        <x:v>0</x:v>
      </x:c>
      <x:c r="G15" s="59" t="n">
        <x:f>IF(C15=0,0,COUNTIFS('TO Observations'!$X$2:$X$201,A15,'TO Observations'!$C$2:$C$201,B15,'TO Observations'!$P$2:$P$201,"Yes",'TO Observations'!$AN$2:$AN$201,"Yes")/C15)</x:f>
        <x:v>0</x:v>
      </x:c>
      <x:c r="H15" t="n">
        <x:f>IF(C15=0,0,SUMIFS('TO Observations'!$K$2:$K$201,'TO Observations'!$X$2:$X$201,A15,'TO Observations'!$C$2:$C$201,B15,'TO Observations'!$AN$2:$AN$201,"Yes")/C15)</x:f>
        <x:v>0</x:v>
      </x:c>
      <x:c r="I15" t="n">
        <x:f>'Volume Validation'!D15</x:f>
        <x:v>0</x:v>
      </x:c>
      <x:c r="J15" t="n">
        <x:f>'Volume Validation'!E15</x:f>
        <x:v>0</x:v>
      </x:c>
      <x:c r="K15" t="n">
        <x:f>'Volume Validation'!F15</x:f>
        <x:v>220</x:v>
      </x:c>
      <x:c r="L15" s="40" t="n">
        <x:f>IFERROR(INDEX('Role Cost Assumptions'!$B$2:$B$10,MATCH(B15,'Role Cost Assumptions'!$A$2:$A$10,0)),25)</x:f>
        <x:v>25</x:v>
      </x:c>
      <x:c r="M15" t="n">
        <x:f>'Volume Validation'!G15</x:f>
        <x:v>0</x:v>
      </x:c>
      <x:c r="N15" t="n">
        <x:f>IF('Volume Validation'!J15="Yes",I15*J15*K15,0)</x:f>
        <x:v>0</x:v>
      </x:c>
      <x:c r="O15" s="24" t="n">
        <x:f>N15*(D15+E15)/60*L15</x:f>
        <x:v>0</x:v>
      </x:c>
      <x:c r="P15" t="str">
        <x:f>IF(A15="","",IF('Volume Validation'!J15&lt;&gt;"Yes","HOLD - VOLUME UNVALIDATED",IF(C15&lt;5,"HOLD - LOW TIMING SAMPLE","PROVISIONAL RANKING READY")))</x:f>
      </x:c>
    </x:row>
    <x:row r="16">
      <x:c r="A16" t="n">
        <x:f>'Volume Validation'!A16</x:f>
        <x:v>0</x:v>
      </x:c>
      <x:c r="B16" t="n">
        <x:f>'Volume Validation'!B16</x:f>
        <x:v>0</x:v>
      </x:c>
      <x:c r="C16" t="n">
        <x:f>IF(A16="",0,COUNTIFS('TO Observations'!$X$2:$X$201,A16,'TO Observations'!$C$2:$C$201,B16,'TO Observations'!$AN$2:$AN$201,"Yes"))</x:f>
        <x:v>0</x:v>
      </x:c>
      <x:c r="D16" t="n">
        <x:f>IF(C16=0,0,SUMIFS('TO Observations'!$H$2:$H$201,'TO Observations'!$X$2:$X$201,A16,'TO Observations'!$C$2:$C$201,B16,'TO Observations'!$AN$2:$AN$201,"Yes")/C16)</x:f>
        <x:v>0</x:v>
      </x:c>
      <x:c r="E16" t="n">
        <x:f>IF(C16=0,0,SUMIFS('TO Observations'!$Q$2:$Q$201,'TO Observations'!$X$2:$X$201,A16,'TO Observations'!$C$2:$C$201,B16,'TO Observations'!$AN$2:$AN$201,"Yes")/C16)</x:f>
        <x:v>0</x:v>
      </x:c>
      <x:c r="F16" s="59" t="n">
        <x:f>IF(C16=0,0,COUNTIFS('TO Observations'!$X$2:$X$201,A16,'TO Observations'!$C$2:$C$201,B16,'TO Observations'!$O$2:$O$201,"Yes",'TO Observations'!$AN$2:$AN$201,"Yes")/C16)</x:f>
        <x:v>0</x:v>
      </x:c>
      <x:c r="G16" s="59" t="n">
        <x:f>IF(C16=0,0,COUNTIFS('TO Observations'!$X$2:$X$201,A16,'TO Observations'!$C$2:$C$201,B16,'TO Observations'!$P$2:$P$201,"Yes",'TO Observations'!$AN$2:$AN$201,"Yes")/C16)</x:f>
        <x:v>0</x:v>
      </x:c>
      <x:c r="H16" t="n">
        <x:f>IF(C16=0,0,SUMIFS('TO Observations'!$K$2:$K$201,'TO Observations'!$X$2:$X$201,A16,'TO Observations'!$C$2:$C$201,B16,'TO Observations'!$AN$2:$AN$201,"Yes")/C16)</x:f>
        <x:v>0</x:v>
      </x:c>
      <x:c r="I16" t="n">
        <x:f>'Volume Validation'!D16</x:f>
        <x:v>0</x:v>
      </x:c>
      <x:c r="J16" t="n">
        <x:f>'Volume Validation'!E16</x:f>
        <x:v>0</x:v>
      </x:c>
      <x:c r="K16" t="n">
        <x:f>'Volume Validation'!F16</x:f>
        <x:v>220</x:v>
      </x:c>
      <x:c r="L16" s="40" t="n">
        <x:f>IFERROR(INDEX('Role Cost Assumptions'!$B$2:$B$10,MATCH(B16,'Role Cost Assumptions'!$A$2:$A$10,0)),25)</x:f>
        <x:v>25</x:v>
      </x:c>
      <x:c r="M16" t="n">
        <x:f>'Volume Validation'!G16</x:f>
        <x:v>0</x:v>
      </x:c>
      <x:c r="N16" t="n">
        <x:f>IF('Volume Validation'!J16="Yes",I16*J16*K16,0)</x:f>
        <x:v>0</x:v>
      </x:c>
      <x:c r="O16" s="24" t="n">
        <x:f>N16*(D16+E16)/60*L16</x:f>
        <x:v>0</x:v>
      </x:c>
      <x:c r="P16" t="str">
        <x:f>IF(A16="","",IF('Volume Validation'!J16&lt;&gt;"Yes","HOLD - VOLUME UNVALIDATED",IF(C16&lt;5,"HOLD - LOW TIMING SAMPLE","PROVISIONAL RANKING READY")))</x:f>
      </x:c>
    </x:row>
    <x:row r="17">
      <x:c r="A17" t="n">
        <x:f>'Volume Validation'!A17</x:f>
        <x:v>0</x:v>
      </x:c>
      <x:c r="B17" t="n">
        <x:f>'Volume Validation'!B17</x:f>
        <x:v>0</x:v>
      </x:c>
      <x:c r="C17" t="n">
        <x:f>IF(A17="",0,COUNTIFS('TO Observations'!$X$2:$X$201,A17,'TO Observations'!$C$2:$C$201,B17,'TO Observations'!$AN$2:$AN$201,"Yes"))</x:f>
        <x:v>0</x:v>
      </x:c>
      <x:c r="D17" t="n">
        <x:f>IF(C17=0,0,SUMIFS('TO Observations'!$H$2:$H$201,'TO Observations'!$X$2:$X$201,A17,'TO Observations'!$C$2:$C$201,B17,'TO Observations'!$AN$2:$AN$201,"Yes")/C17)</x:f>
        <x:v>0</x:v>
      </x:c>
      <x:c r="E17" t="n">
        <x:f>IF(C17=0,0,SUMIFS('TO Observations'!$Q$2:$Q$201,'TO Observations'!$X$2:$X$201,A17,'TO Observations'!$C$2:$C$201,B17,'TO Observations'!$AN$2:$AN$201,"Yes")/C17)</x:f>
        <x:v>0</x:v>
      </x:c>
      <x:c r="F17" s="59" t="n">
        <x:f>IF(C17=0,0,COUNTIFS('TO Observations'!$X$2:$X$201,A17,'TO Observations'!$C$2:$C$201,B17,'TO Observations'!$O$2:$O$201,"Yes",'TO Observations'!$AN$2:$AN$201,"Yes")/C17)</x:f>
        <x:v>0</x:v>
      </x:c>
      <x:c r="G17" s="59" t="n">
        <x:f>IF(C17=0,0,COUNTIFS('TO Observations'!$X$2:$X$201,A17,'TO Observations'!$C$2:$C$201,B17,'TO Observations'!$P$2:$P$201,"Yes",'TO Observations'!$AN$2:$AN$201,"Yes")/C17)</x:f>
        <x:v>0</x:v>
      </x:c>
      <x:c r="H17" t="n">
        <x:f>IF(C17=0,0,SUMIFS('TO Observations'!$K$2:$K$201,'TO Observations'!$X$2:$X$201,A17,'TO Observations'!$C$2:$C$201,B17,'TO Observations'!$AN$2:$AN$201,"Yes")/C17)</x:f>
        <x:v>0</x:v>
      </x:c>
      <x:c r="I17" t="n">
        <x:f>'Volume Validation'!D17</x:f>
        <x:v>0</x:v>
      </x:c>
      <x:c r="J17" t="n">
        <x:f>'Volume Validation'!E17</x:f>
        <x:v>0</x:v>
      </x:c>
      <x:c r="K17" t="n">
        <x:f>'Volume Validation'!F17</x:f>
        <x:v>220</x:v>
      </x:c>
      <x:c r="L17" s="40" t="n">
        <x:f>IFERROR(INDEX('Role Cost Assumptions'!$B$2:$B$10,MATCH(B17,'Role Cost Assumptions'!$A$2:$A$10,0)),25)</x:f>
        <x:v>25</x:v>
      </x:c>
      <x:c r="M17" t="n">
        <x:f>'Volume Validation'!G17</x:f>
        <x:v>0</x:v>
      </x:c>
      <x:c r="N17" t="n">
        <x:f>IF('Volume Validation'!J17="Yes",I17*J17*K17,0)</x:f>
        <x:v>0</x:v>
      </x:c>
      <x:c r="O17" s="24" t="n">
        <x:f>N17*(D17+E17)/60*L17</x:f>
        <x:v>0</x:v>
      </x:c>
      <x:c r="P17" t="str">
        <x:f>IF(A17="","",IF('Volume Validation'!J17&lt;&gt;"Yes","HOLD - VOLUME UNVALIDATED",IF(C17&lt;5,"HOLD - LOW TIMING SAMPLE","PROVISIONAL RANKING READY")))</x:f>
      </x:c>
    </x:row>
    <x:row r="18">
      <x:c r="A18" t="n">
        <x:f>'Volume Validation'!A18</x:f>
        <x:v>0</x:v>
      </x:c>
      <x:c r="B18" t="n">
        <x:f>'Volume Validation'!B18</x:f>
        <x:v>0</x:v>
      </x:c>
      <x:c r="C18" t="n">
        <x:f>IF(A18="",0,COUNTIFS('TO Observations'!$X$2:$X$201,A18,'TO Observations'!$C$2:$C$201,B18,'TO Observations'!$AN$2:$AN$201,"Yes"))</x:f>
        <x:v>0</x:v>
      </x:c>
      <x:c r="D18" t="n">
        <x:f>IF(C18=0,0,SUMIFS('TO Observations'!$H$2:$H$201,'TO Observations'!$X$2:$X$201,A18,'TO Observations'!$C$2:$C$201,B18,'TO Observations'!$AN$2:$AN$201,"Yes")/C18)</x:f>
        <x:v>0</x:v>
      </x:c>
      <x:c r="E18" t="n">
        <x:f>IF(C18=0,0,SUMIFS('TO Observations'!$Q$2:$Q$201,'TO Observations'!$X$2:$X$201,A18,'TO Observations'!$C$2:$C$201,B18,'TO Observations'!$AN$2:$AN$201,"Yes")/C18)</x:f>
        <x:v>0</x:v>
      </x:c>
      <x:c r="F18" s="59" t="n">
        <x:f>IF(C18=0,0,COUNTIFS('TO Observations'!$X$2:$X$201,A18,'TO Observations'!$C$2:$C$201,B18,'TO Observations'!$O$2:$O$201,"Yes",'TO Observations'!$AN$2:$AN$201,"Yes")/C18)</x:f>
        <x:v>0</x:v>
      </x:c>
      <x:c r="G18" s="59" t="n">
        <x:f>IF(C18=0,0,COUNTIFS('TO Observations'!$X$2:$X$201,A18,'TO Observations'!$C$2:$C$201,B18,'TO Observations'!$P$2:$P$201,"Yes",'TO Observations'!$AN$2:$AN$201,"Yes")/C18)</x:f>
        <x:v>0</x:v>
      </x:c>
      <x:c r="H18" t="n">
        <x:f>IF(C18=0,0,SUMIFS('TO Observations'!$K$2:$K$201,'TO Observations'!$X$2:$X$201,A18,'TO Observations'!$C$2:$C$201,B18,'TO Observations'!$AN$2:$AN$201,"Yes")/C18)</x:f>
        <x:v>0</x:v>
      </x:c>
      <x:c r="I18" t="n">
        <x:f>'Volume Validation'!D18</x:f>
        <x:v>0</x:v>
      </x:c>
      <x:c r="J18" t="n">
        <x:f>'Volume Validation'!E18</x:f>
        <x:v>0</x:v>
      </x:c>
      <x:c r="K18" t="n">
        <x:f>'Volume Validation'!F18</x:f>
        <x:v>220</x:v>
      </x:c>
      <x:c r="L18" s="40" t="n">
        <x:f>IFERROR(INDEX('Role Cost Assumptions'!$B$2:$B$10,MATCH(B18,'Role Cost Assumptions'!$A$2:$A$10,0)),25)</x:f>
        <x:v>25</x:v>
      </x:c>
      <x:c r="M18" t="n">
        <x:f>'Volume Validation'!G18</x:f>
        <x:v>0</x:v>
      </x:c>
      <x:c r="N18" t="n">
        <x:f>IF('Volume Validation'!J18="Yes",I18*J18*K18,0)</x:f>
        <x:v>0</x:v>
      </x:c>
      <x:c r="O18" s="24" t="n">
        <x:f>N18*(D18+E18)/60*L18</x:f>
        <x:v>0</x:v>
      </x:c>
      <x:c r="P18" t="str">
        <x:f>IF(A18="","",IF('Volume Validation'!J18&lt;&gt;"Yes","HOLD - VOLUME UNVALIDATED",IF(C18&lt;5,"HOLD - LOW TIMING SAMPLE","PROVISIONAL RANKING READY")))</x:f>
      </x:c>
    </x:row>
    <x:row r="19">
      <x:c r="A19" t="n">
        <x:f>'Volume Validation'!A19</x:f>
        <x:v>0</x:v>
      </x:c>
      <x:c r="B19" t="n">
        <x:f>'Volume Validation'!B19</x:f>
        <x:v>0</x:v>
      </x:c>
      <x:c r="C19" t="n">
        <x:f>IF(A19="",0,COUNTIFS('TO Observations'!$X$2:$X$201,A19,'TO Observations'!$C$2:$C$201,B19,'TO Observations'!$AN$2:$AN$201,"Yes"))</x:f>
        <x:v>0</x:v>
      </x:c>
      <x:c r="D19" t="n">
        <x:f>IF(C19=0,0,SUMIFS('TO Observations'!$H$2:$H$201,'TO Observations'!$X$2:$X$201,A19,'TO Observations'!$C$2:$C$201,B19,'TO Observations'!$AN$2:$AN$201,"Yes")/C19)</x:f>
        <x:v>0</x:v>
      </x:c>
      <x:c r="E19" t="n">
        <x:f>IF(C19=0,0,SUMIFS('TO Observations'!$Q$2:$Q$201,'TO Observations'!$X$2:$X$201,A19,'TO Observations'!$C$2:$C$201,B19,'TO Observations'!$AN$2:$AN$201,"Yes")/C19)</x:f>
        <x:v>0</x:v>
      </x:c>
      <x:c r="F19" s="59" t="n">
        <x:f>IF(C19=0,0,COUNTIFS('TO Observations'!$X$2:$X$201,A19,'TO Observations'!$C$2:$C$201,B19,'TO Observations'!$O$2:$O$201,"Yes",'TO Observations'!$AN$2:$AN$201,"Yes")/C19)</x:f>
        <x:v>0</x:v>
      </x:c>
      <x:c r="G19" s="59" t="n">
        <x:f>IF(C19=0,0,COUNTIFS('TO Observations'!$X$2:$X$201,A19,'TO Observations'!$C$2:$C$201,B19,'TO Observations'!$P$2:$P$201,"Yes",'TO Observations'!$AN$2:$AN$201,"Yes")/C19)</x:f>
        <x:v>0</x:v>
      </x:c>
      <x:c r="H19" t="n">
        <x:f>IF(C19=0,0,SUMIFS('TO Observations'!$K$2:$K$201,'TO Observations'!$X$2:$X$201,A19,'TO Observations'!$C$2:$C$201,B19,'TO Observations'!$AN$2:$AN$201,"Yes")/C19)</x:f>
        <x:v>0</x:v>
      </x:c>
      <x:c r="I19" t="n">
        <x:f>'Volume Validation'!D19</x:f>
        <x:v>0</x:v>
      </x:c>
      <x:c r="J19" t="n">
        <x:f>'Volume Validation'!E19</x:f>
        <x:v>0</x:v>
      </x:c>
      <x:c r="K19" t="n">
        <x:f>'Volume Validation'!F19</x:f>
        <x:v>220</x:v>
      </x:c>
      <x:c r="L19" s="40" t="n">
        <x:f>IFERROR(INDEX('Role Cost Assumptions'!$B$2:$B$10,MATCH(B19,'Role Cost Assumptions'!$A$2:$A$10,0)),25)</x:f>
        <x:v>25</x:v>
      </x:c>
      <x:c r="M19" t="n">
        <x:f>'Volume Validation'!G19</x:f>
        <x:v>0</x:v>
      </x:c>
      <x:c r="N19" t="n">
        <x:f>IF('Volume Validation'!J19="Yes",I19*J19*K19,0)</x:f>
        <x:v>0</x:v>
      </x:c>
      <x:c r="O19" s="24" t="n">
        <x:f>N19*(D19+E19)/60*L19</x:f>
        <x:v>0</x:v>
      </x:c>
      <x:c r="P19" t="str">
        <x:f>IF(A19="","",IF('Volume Validation'!J19&lt;&gt;"Yes","HOLD - VOLUME UNVALIDATED",IF(C19&lt;5,"HOLD - LOW TIMING SAMPLE","PROVISIONAL RANKING READY")))</x:f>
      </x:c>
    </x:row>
    <x:row r="20">
      <x:c r="A20" t="n">
        <x:f>'Volume Validation'!A20</x:f>
        <x:v>0</x:v>
      </x:c>
      <x:c r="B20" t="n">
        <x:f>'Volume Validation'!B20</x:f>
        <x:v>0</x:v>
      </x:c>
      <x:c r="C20" t="n">
        <x:f>IF(A20="",0,COUNTIFS('TO Observations'!$X$2:$X$201,A20,'TO Observations'!$C$2:$C$201,B20,'TO Observations'!$AN$2:$AN$201,"Yes"))</x:f>
        <x:v>0</x:v>
      </x:c>
      <x:c r="D20" t="n">
        <x:f>IF(C20=0,0,SUMIFS('TO Observations'!$H$2:$H$201,'TO Observations'!$X$2:$X$201,A20,'TO Observations'!$C$2:$C$201,B20,'TO Observations'!$AN$2:$AN$201,"Yes")/C20)</x:f>
        <x:v>0</x:v>
      </x:c>
      <x:c r="E20" t="n">
        <x:f>IF(C20=0,0,SUMIFS('TO Observations'!$Q$2:$Q$201,'TO Observations'!$X$2:$X$201,A20,'TO Observations'!$C$2:$C$201,B20,'TO Observations'!$AN$2:$AN$201,"Yes")/C20)</x:f>
        <x:v>0</x:v>
      </x:c>
      <x:c r="F20" s="59" t="n">
        <x:f>IF(C20=0,0,COUNTIFS('TO Observations'!$X$2:$X$201,A20,'TO Observations'!$C$2:$C$201,B20,'TO Observations'!$O$2:$O$201,"Yes",'TO Observations'!$AN$2:$AN$201,"Yes")/C20)</x:f>
        <x:v>0</x:v>
      </x:c>
      <x:c r="G20" s="59" t="n">
        <x:f>IF(C20=0,0,COUNTIFS('TO Observations'!$X$2:$X$201,A20,'TO Observations'!$C$2:$C$201,B20,'TO Observations'!$P$2:$P$201,"Yes",'TO Observations'!$AN$2:$AN$201,"Yes")/C20)</x:f>
        <x:v>0</x:v>
      </x:c>
      <x:c r="H20" t="n">
        <x:f>IF(C20=0,0,SUMIFS('TO Observations'!$K$2:$K$201,'TO Observations'!$X$2:$X$201,A20,'TO Observations'!$C$2:$C$201,B20,'TO Observations'!$AN$2:$AN$201,"Yes")/C20)</x:f>
        <x:v>0</x:v>
      </x:c>
      <x:c r="I20" t="n">
        <x:f>'Volume Validation'!D20</x:f>
        <x:v>0</x:v>
      </x:c>
      <x:c r="J20" t="n">
        <x:f>'Volume Validation'!E20</x:f>
        <x:v>0</x:v>
      </x:c>
      <x:c r="K20" t="n">
        <x:f>'Volume Validation'!F20</x:f>
        <x:v>220</x:v>
      </x:c>
      <x:c r="L20" s="40" t="n">
        <x:f>IFERROR(INDEX('Role Cost Assumptions'!$B$2:$B$10,MATCH(B20,'Role Cost Assumptions'!$A$2:$A$10,0)),25)</x:f>
        <x:v>25</x:v>
      </x:c>
      <x:c r="M20" t="n">
        <x:f>'Volume Validation'!G20</x:f>
        <x:v>0</x:v>
      </x:c>
      <x:c r="N20" t="n">
        <x:f>IF('Volume Validation'!J20="Yes",I20*J20*K20,0)</x:f>
        <x:v>0</x:v>
      </x:c>
      <x:c r="O20" s="24" t="n">
        <x:f>N20*(D20+E20)/60*L20</x:f>
        <x:v>0</x:v>
      </x:c>
      <x:c r="P20" t="str">
        <x:f>IF(A20="","",IF('Volume Validation'!J20&lt;&gt;"Yes","HOLD - VOLUME UNVALIDATED",IF(C20&lt;5,"HOLD - LOW TIMING SAMPLE","PROVISIONAL RANKING READY")))</x:f>
      </x:c>
    </x:row>
    <x:row r="21">
      <x:c r="A21" t="n">
        <x:f>'Volume Validation'!A21</x:f>
        <x:v>0</x:v>
      </x:c>
      <x:c r="B21" t="n">
        <x:f>'Volume Validation'!B21</x:f>
        <x:v>0</x:v>
      </x:c>
      <x:c r="C21" t="n">
        <x:f>IF(A21="",0,COUNTIFS('TO Observations'!$X$2:$X$201,A21,'TO Observations'!$C$2:$C$201,B21,'TO Observations'!$AN$2:$AN$201,"Yes"))</x:f>
        <x:v>0</x:v>
      </x:c>
      <x:c r="D21" t="n">
        <x:f>IF(C21=0,0,SUMIFS('TO Observations'!$H$2:$H$201,'TO Observations'!$X$2:$X$201,A21,'TO Observations'!$C$2:$C$201,B21,'TO Observations'!$AN$2:$AN$201,"Yes")/C21)</x:f>
        <x:v>0</x:v>
      </x:c>
      <x:c r="E21" t="n">
        <x:f>IF(C21=0,0,SUMIFS('TO Observations'!$Q$2:$Q$201,'TO Observations'!$X$2:$X$201,A21,'TO Observations'!$C$2:$C$201,B21,'TO Observations'!$AN$2:$AN$201,"Yes")/C21)</x:f>
        <x:v>0</x:v>
      </x:c>
      <x:c r="F21" s="59" t="n">
        <x:f>IF(C21=0,0,COUNTIFS('TO Observations'!$X$2:$X$201,A21,'TO Observations'!$C$2:$C$201,B21,'TO Observations'!$O$2:$O$201,"Yes",'TO Observations'!$AN$2:$AN$201,"Yes")/C21)</x:f>
        <x:v>0</x:v>
      </x:c>
      <x:c r="G21" s="59" t="n">
        <x:f>IF(C21=0,0,COUNTIFS('TO Observations'!$X$2:$X$201,A21,'TO Observations'!$C$2:$C$201,B21,'TO Observations'!$P$2:$P$201,"Yes",'TO Observations'!$AN$2:$AN$201,"Yes")/C21)</x:f>
        <x:v>0</x:v>
      </x:c>
      <x:c r="H21" t="n">
        <x:f>IF(C21=0,0,SUMIFS('TO Observations'!$K$2:$K$201,'TO Observations'!$X$2:$X$201,A21,'TO Observations'!$C$2:$C$201,B21,'TO Observations'!$AN$2:$AN$201,"Yes")/C21)</x:f>
        <x:v>0</x:v>
      </x:c>
      <x:c r="I21" t="n">
        <x:f>'Volume Validation'!D21</x:f>
        <x:v>0</x:v>
      </x:c>
      <x:c r="J21" t="n">
        <x:f>'Volume Validation'!E21</x:f>
        <x:v>0</x:v>
      </x:c>
      <x:c r="K21" t="n">
        <x:f>'Volume Validation'!F21</x:f>
        <x:v>220</x:v>
      </x:c>
      <x:c r="L21" s="40" t="n">
        <x:f>IFERROR(INDEX('Role Cost Assumptions'!$B$2:$B$10,MATCH(B21,'Role Cost Assumptions'!$A$2:$A$10,0)),25)</x:f>
        <x:v>25</x:v>
      </x:c>
      <x:c r="M21" t="n">
        <x:f>'Volume Validation'!G21</x:f>
        <x:v>0</x:v>
      </x:c>
      <x:c r="N21" t="n">
        <x:f>IF('Volume Validation'!J21="Yes",I21*J21*K21,0)</x:f>
        <x:v>0</x:v>
      </x:c>
      <x:c r="O21" s="24" t="n">
        <x:f>N21*(D21+E21)/60*L21</x:f>
        <x:v>0</x:v>
      </x:c>
      <x:c r="P21" t="str">
        <x:f>IF(A21="","",IF('Volume Validation'!J21&lt;&gt;"Yes","HOLD - VOLUME UNVALIDATED",IF(C21&lt;5,"HOLD - LOW TIMING SAMPLE","PROVISIONAL RANKING READY")))</x:f>
      </x:c>
    </x:row>
    <x:row r="22">
      <x:c r="A22" t="n">
        <x:f>'Volume Validation'!A22</x:f>
        <x:v>0</x:v>
      </x:c>
      <x:c r="B22" t="n">
        <x:f>'Volume Validation'!B22</x:f>
        <x:v>0</x:v>
      </x:c>
      <x:c r="C22" t="n">
        <x:f>IF(A22="",0,COUNTIFS('TO Observations'!$X$2:$X$201,A22,'TO Observations'!$C$2:$C$201,B22,'TO Observations'!$AN$2:$AN$201,"Yes"))</x:f>
        <x:v>0</x:v>
      </x:c>
      <x:c r="D22" t="n">
        <x:f>IF(C22=0,0,SUMIFS('TO Observations'!$H$2:$H$201,'TO Observations'!$X$2:$X$201,A22,'TO Observations'!$C$2:$C$201,B22,'TO Observations'!$AN$2:$AN$201,"Yes")/C22)</x:f>
        <x:v>0</x:v>
      </x:c>
      <x:c r="E22" t="n">
        <x:f>IF(C22=0,0,SUMIFS('TO Observations'!$Q$2:$Q$201,'TO Observations'!$X$2:$X$201,A22,'TO Observations'!$C$2:$C$201,B22,'TO Observations'!$AN$2:$AN$201,"Yes")/C22)</x:f>
        <x:v>0</x:v>
      </x:c>
      <x:c r="F22" s="59" t="n">
        <x:f>IF(C22=0,0,COUNTIFS('TO Observations'!$X$2:$X$201,A22,'TO Observations'!$C$2:$C$201,B22,'TO Observations'!$O$2:$O$201,"Yes",'TO Observations'!$AN$2:$AN$201,"Yes")/C22)</x:f>
        <x:v>0</x:v>
      </x:c>
      <x:c r="G22" s="59" t="n">
        <x:f>IF(C22=0,0,COUNTIFS('TO Observations'!$X$2:$X$201,A22,'TO Observations'!$C$2:$C$201,B22,'TO Observations'!$P$2:$P$201,"Yes",'TO Observations'!$AN$2:$AN$201,"Yes")/C22)</x:f>
        <x:v>0</x:v>
      </x:c>
      <x:c r="H22" t="n">
        <x:f>IF(C22=0,0,SUMIFS('TO Observations'!$K$2:$K$201,'TO Observations'!$X$2:$X$201,A22,'TO Observations'!$C$2:$C$201,B22,'TO Observations'!$AN$2:$AN$201,"Yes")/C22)</x:f>
        <x:v>0</x:v>
      </x:c>
      <x:c r="I22" t="n">
        <x:f>'Volume Validation'!D22</x:f>
        <x:v>0</x:v>
      </x:c>
      <x:c r="J22" t="n">
        <x:f>'Volume Validation'!E22</x:f>
        <x:v>0</x:v>
      </x:c>
      <x:c r="K22" t="n">
        <x:f>'Volume Validation'!F22</x:f>
        <x:v>220</x:v>
      </x:c>
      <x:c r="L22" s="40" t="n">
        <x:f>IFERROR(INDEX('Role Cost Assumptions'!$B$2:$B$10,MATCH(B22,'Role Cost Assumptions'!$A$2:$A$10,0)),25)</x:f>
        <x:v>25</x:v>
      </x:c>
      <x:c r="M22" t="n">
        <x:f>'Volume Validation'!G22</x:f>
        <x:v>0</x:v>
      </x:c>
      <x:c r="N22" t="n">
        <x:f>IF('Volume Validation'!J22="Yes",I22*J22*K22,0)</x:f>
        <x:v>0</x:v>
      </x:c>
      <x:c r="O22" s="24" t="n">
        <x:f>N22*(D22+E22)/60*L22</x:f>
        <x:v>0</x:v>
      </x:c>
      <x:c r="P22" t="str">
        <x:f>IF(A22="","",IF('Volume Validation'!J22&lt;&gt;"Yes","HOLD - VOLUME UNVALIDATED",IF(C22&lt;5,"HOLD - LOW TIMING SAMPLE","PROVISIONAL RANKING READY")))</x:f>
      </x:c>
    </x:row>
    <x:row r="23">
      <x:c r="A23" t="n">
        <x:f>'Volume Validation'!A23</x:f>
        <x:v>0</x:v>
      </x:c>
      <x:c r="B23" t="n">
        <x:f>'Volume Validation'!B23</x:f>
        <x:v>0</x:v>
      </x:c>
      <x:c r="C23" t="n">
        <x:f>IF(A23="",0,COUNTIFS('TO Observations'!$X$2:$X$201,A23,'TO Observations'!$C$2:$C$201,B23,'TO Observations'!$AN$2:$AN$201,"Yes"))</x:f>
        <x:v>0</x:v>
      </x:c>
      <x:c r="D23" t="n">
        <x:f>IF(C23=0,0,SUMIFS('TO Observations'!$H$2:$H$201,'TO Observations'!$X$2:$X$201,A23,'TO Observations'!$C$2:$C$201,B23,'TO Observations'!$AN$2:$AN$201,"Yes")/C23)</x:f>
        <x:v>0</x:v>
      </x:c>
      <x:c r="E23" t="n">
        <x:f>IF(C23=0,0,SUMIFS('TO Observations'!$Q$2:$Q$201,'TO Observations'!$X$2:$X$201,A23,'TO Observations'!$C$2:$C$201,B23,'TO Observations'!$AN$2:$AN$201,"Yes")/C23)</x:f>
        <x:v>0</x:v>
      </x:c>
      <x:c r="F23" s="59" t="n">
        <x:f>IF(C23=0,0,COUNTIFS('TO Observations'!$X$2:$X$201,A23,'TO Observations'!$C$2:$C$201,B23,'TO Observations'!$O$2:$O$201,"Yes",'TO Observations'!$AN$2:$AN$201,"Yes")/C23)</x:f>
        <x:v>0</x:v>
      </x:c>
      <x:c r="G23" s="59" t="n">
        <x:f>IF(C23=0,0,COUNTIFS('TO Observations'!$X$2:$X$201,A23,'TO Observations'!$C$2:$C$201,B23,'TO Observations'!$P$2:$P$201,"Yes",'TO Observations'!$AN$2:$AN$201,"Yes")/C23)</x:f>
        <x:v>0</x:v>
      </x:c>
      <x:c r="H23" t="n">
        <x:f>IF(C23=0,0,SUMIFS('TO Observations'!$K$2:$K$201,'TO Observations'!$X$2:$X$201,A23,'TO Observations'!$C$2:$C$201,B23,'TO Observations'!$AN$2:$AN$201,"Yes")/C23)</x:f>
        <x:v>0</x:v>
      </x:c>
      <x:c r="I23" t="n">
        <x:f>'Volume Validation'!D23</x:f>
        <x:v>0</x:v>
      </x:c>
      <x:c r="J23" t="n">
        <x:f>'Volume Validation'!E23</x:f>
        <x:v>0</x:v>
      </x:c>
      <x:c r="K23" t="n">
        <x:f>'Volume Validation'!F23</x:f>
        <x:v>220</x:v>
      </x:c>
      <x:c r="L23" s="40" t="n">
        <x:f>IFERROR(INDEX('Role Cost Assumptions'!$B$2:$B$10,MATCH(B23,'Role Cost Assumptions'!$A$2:$A$10,0)),25)</x:f>
        <x:v>25</x:v>
      </x:c>
      <x:c r="M23" t="n">
        <x:f>'Volume Validation'!G23</x:f>
        <x:v>0</x:v>
      </x:c>
      <x:c r="N23" t="n">
        <x:f>IF('Volume Validation'!J23="Yes",I23*J23*K23,0)</x:f>
        <x:v>0</x:v>
      </x:c>
      <x:c r="O23" s="24" t="n">
        <x:f>N23*(D23+E23)/60*L23</x:f>
        <x:v>0</x:v>
      </x:c>
      <x:c r="P23" t="str">
        <x:f>IF(A23="","",IF('Volume Validation'!J23&lt;&gt;"Yes","HOLD - VOLUME UNVALIDATED",IF(C23&lt;5,"HOLD - LOW TIMING SAMPLE","PROVISIONAL RANKING READY")))</x:f>
      </x:c>
    </x:row>
    <x:row r="24">
      <x:c r="A24" t="n">
        <x:f>'Volume Validation'!A24</x:f>
        <x:v>0</x:v>
      </x:c>
      <x:c r="B24" t="n">
        <x:f>'Volume Validation'!B24</x:f>
        <x:v>0</x:v>
      </x:c>
      <x:c r="C24" t="n">
        <x:f>IF(A24="",0,COUNTIFS('TO Observations'!$X$2:$X$201,A24,'TO Observations'!$C$2:$C$201,B24,'TO Observations'!$AN$2:$AN$201,"Yes"))</x:f>
        <x:v>0</x:v>
      </x:c>
      <x:c r="D24" t="n">
        <x:f>IF(C24=0,0,SUMIFS('TO Observations'!$H$2:$H$201,'TO Observations'!$X$2:$X$201,A24,'TO Observations'!$C$2:$C$201,B24,'TO Observations'!$AN$2:$AN$201,"Yes")/C24)</x:f>
        <x:v>0</x:v>
      </x:c>
      <x:c r="E24" t="n">
        <x:f>IF(C24=0,0,SUMIFS('TO Observations'!$Q$2:$Q$201,'TO Observations'!$X$2:$X$201,A24,'TO Observations'!$C$2:$C$201,B24,'TO Observations'!$AN$2:$AN$201,"Yes")/C24)</x:f>
        <x:v>0</x:v>
      </x:c>
      <x:c r="F24" s="59" t="n">
        <x:f>IF(C24=0,0,COUNTIFS('TO Observations'!$X$2:$X$201,A24,'TO Observations'!$C$2:$C$201,B24,'TO Observations'!$O$2:$O$201,"Yes",'TO Observations'!$AN$2:$AN$201,"Yes")/C24)</x:f>
        <x:v>0</x:v>
      </x:c>
      <x:c r="G24" s="59" t="n">
        <x:f>IF(C24=0,0,COUNTIFS('TO Observations'!$X$2:$X$201,A24,'TO Observations'!$C$2:$C$201,B24,'TO Observations'!$P$2:$P$201,"Yes",'TO Observations'!$AN$2:$AN$201,"Yes")/C24)</x:f>
        <x:v>0</x:v>
      </x:c>
      <x:c r="H24" t="n">
        <x:f>IF(C24=0,0,SUMIFS('TO Observations'!$K$2:$K$201,'TO Observations'!$X$2:$X$201,A24,'TO Observations'!$C$2:$C$201,B24,'TO Observations'!$AN$2:$AN$201,"Yes")/C24)</x:f>
        <x:v>0</x:v>
      </x:c>
      <x:c r="I24" t="n">
        <x:f>'Volume Validation'!D24</x:f>
        <x:v>0</x:v>
      </x:c>
      <x:c r="J24" t="n">
        <x:f>'Volume Validation'!E24</x:f>
        <x:v>0</x:v>
      </x:c>
      <x:c r="K24" t="n">
        <x:f>'Volume Validation'!F24</x:f>
        <x:v>220</x:v>
      </x:c>
      <x:c r="L24" s="40" t="n">
        <x:f>IFERROR(INDEX('Role Cost Assumptions'!$B$2:$B$10,MATCH(B24,'Role Cost Assumptions'!$A$2:$A$10,0)),25)</x:f>
        <x:v>25</x:v>
      </x:c>
      <x:c r="M24" t="n">
        <x:f>'Volume Validation'!G24</x:f>
        <x:v>0</x:v>
      </x:c>
      <x:c r="N24" t="n">
        <x:f>IF('Volume Validation'!J24="Yes",I24*J24*K24,0)</x:f>
        <x:v>0</x:v>
      </x:c>
      <x:c r="O24" s="24" t="n">
        <x:f>N24*(D24+E24)/60*L24</x:f>
        <x:v>0</x:v>
      </x:c>
      <x:c r="P24" t="str">
        <x:f>IF(A24="","",IF('Volume Validation'!J24&lt;&gt;"Yes","HOLD - VOLUME UNVALIDATED",IF(C24&lt;5,"HOLD - LOW TIMING SAMPLE","PROVISIONAL RANKING READY")))</x:f>
      </x:c>
    </x:row>
    <x:row r="25">
      <x:c r="A25" t="n">
        <x:f>'Volume Validation'!A25</x:f>
        <x:v>0</x:v>
      </x:c>
      <x:c r="B25" t="n">
        <x:f>'Volume Validation'!B25</x:f>
        <x:v>0</x:v>
      </x:c>
      <x:c r="C25" t="n">
        <x:f>IF(A25="",0,COUNTIFS('TO Observations'!$X$2:$X$201,A25,'TO Observations'!$C$2:$C$201,B25,'TO Observations'!$AN$2:$AN$201,"Yes"))</x:f>
        <x:v>0</x:v>
      </x:c>
      <x:c r="D25" t="n">
        <x:f>IF(C25=0,0,SUMIFS('TO Observations'!$H$2:$H$201,'TO Observations'!$X$2:$X$201,A25,'TO Observations'!$C$2:$C$201,B25,'TO Observations'!$AN$2:$AN$201,"Yes")/C25)</x:f>
        <x:v>0</x:v>
      </x:c>
      <x:c r="E25" t="n">
        <x:f>IF(C25=0,0,SUMIFS('TO Observations'!$Q$2:$Q$201,'TO Observations'!$X$2:$X$201,A25,'TO Observations'!$C$2:$C$201,B25,'TO Observations'!$AN$2:$AN$201,"Yes")/C25)</x:f>
        <x:v>0</x:v>
      </x:c>
      <x:c r="F25" s="59" t="n">
        <x:f>IF(C25=0,0,COUNTIFS('TO Observations'!$X$2:$X$201,A25,'TO Observations'!$C$2:$C$201,B25,'TO Observations'!$O$2:$O$201,"Yes",'TO Observations'!$AN$2:$AN$201,"Yes")/C25)</x:f>
        <x:v>0</x:v>
      </x:c>
      <x:c r="G25" s="59" t="n">
        <x:f>IF(C25=0,0,COUNTIFS('TO Observations'!$X$2:$X$201,A25,'TO Observations'!$C$2:$C$201,B25,'TO Observations'!$P$2:$P$201,"Yes",'TO Observations'!$AN$2:$AN$201,"Yes")/C25)</x:f>
        <x:v>0</x:v>
      </x:c>
      <x:c r="H25" t="n">
        <x:f>IF(C25=0,0,SUMIFS('TO Observations'!$K$2:$K$201,'TO Observations'!$X$2:$X$201,A25,'TO Observations'!$C$2:$C$201,B25,'TO Observations'!$AN$2:$AN$201,"Yes")/C25)</x:f>
        <x:v>0</x:v>
      </x:c>
      <x:c r="I25" t="n">
        <x:f>'Volume Validation'!D25</x:f>
        <x:v>0</x:v>
      </x:c>
      <x:c r="J25" t="n">
        <x:f>'Volume Validation'!E25</x:f>
        <x:v>0</x:v>
      </x:c>
      <x:c r="K25" t="n">
        <x:f>'Volume Validation'!F25</x:f>
        <x:v>220</x:v>
      </x:c>
      <x:c r="L25" s="40" t="n">
        <x:f>IFERROR(INDEX('Role Cost Assumptions'!$B$2:$B$10,MATCH(B25,'Role Cost Assumptions'!$A$2:$A$10,0)),25)</x:f>
        <x:v>25</x:v>
      </x:c>
      <x:c r="M25" t="n">
        <x:f>'Volume Validation'!G25</x:f>
        <x:v>0</x:v>
      </x:c>
      <x:c r="N25" t="n">
        <x:f>IF('Volume Validation'!J25="Yes",I25*J25*K25,0)</x:f>
        <x:v>0</x:v>
      </x:c>
      <x:c r="O25" s="24" t="n">
        <x:f>N25*(D25+E25)/60*L25</x:f>
        <x:v>0</x:v>
      </x:c>
      <x:c r="P25" t="str">
        <x:f>IF(A25="","",IF('Volume Validation'!J25&lt;&gt;"Yes","HOLD - VOLUME UNVALIDATED",IF(C25&lt;5,"HOLD - LOW TIMING SAMPLE","PROVISIONAL RANKING READY")))</x:f>
      </x:c>
    </x:row>
    <x:row r="26">
      <x:c r="A26" t="n">
        <x:f>'Volume Validation'!A26</x:f>
        <x:v>0</x:v>
      </x:c>
      <x:c r="B26" t="n">
        <x:f>'Volume Validation'!B26</x:f>
        <x:v>0</x:v>
      </x:c>
      <x:c r="C26" t="n">
        <x:f>IF(A26="",0,COUNTIFS('TO Observations'!$X$2:$X$201,A26,'TO Observations'!$C$2:$C$201,B26,'TO Observations'!$AN$2:$AN$201,"Yes"))</x:f>
        <x:v>0</x:v>
      </x:c>
      <x:c r="D26" t="n">
        <x:f>IF(C26=0,0,SUMIFS('TO Observations'!$H$2:$H$201,'TO Observations'!$X$2:$X$201,A26,'TO Observations'!$C$2:$C$201,B26,'TO Observations'!$AN$2:$AN$201,"Yes")/C26)</x:f>
        <x:v>0</x:v>
      </x:c>
      <x:c r="E26" t="n">
        <x:f>IF(C26=0,0,SUMIFS('TO Observations'!$Q$2:$Q$201,'TO Observations'!$X$2:$X$201,A26,'TO Observations'!$C$2:$C$201,B26,'TO Observations'!$AN$2:$AN$201,"Yes")/C26)</x:f>
        <x:v>0</x:v>
      </x:c>
      <x:c r="F26" s="59" t="n">
        <x:f>IF(C26=0,0,COUNTIFS('TO Observations'!$X$2:$X$201,A26,'TO Observations'!$C$2:$C$201,B26,'TO Observations'!$O$2:$O$201,"Yes",'TO Observations'!$AN$2:$AN$201,"Yes")/C26)</x:f>
        <x:v>0</x:v>
      </x:c>
      <x:c r="G26" s="59" t="n">
        <x:f>IF(C26=0,0,COUNTIFS('TO Observations'!$X$2:$X$201,A26,'TO Observations'!$C$2:$C$201,B26,'TO Observations'!$P$2:$P$201,"Yes",'TO Observations'!$AN$2:$AN$201,"Yes")/C26)</x:f>
        <x:v>0</x:v>
      </x:c>
      <x:c r="H26" t="n">
        <x:f>IF(C26=0,0,SUMIFS('TO Observations'!$K$2:$K$201,'TO Observations'!$X$2:$X$201,A26,'TO Observations'!$C$2:$C$201,B26,'TO Observations'!$AN$2:$AN$201,"Yes")/C26)</x:f>
        <x:v>0</x:v>
      </x:c>
      <x:c r="I26" t="n">
        <x:f>'Volume Validation'!D26</x:f>
        <x:v>0</x:v>
      </x:c>
      <x:c r="J26" t="n">
        <x:f>'Volume Validation'!E26</x:f>
        <x:v>0</x:v>
      </x:c>
      <x:c r="K26" t="n">
        <x:f>'Volume Validation'!F26</x:f>
        <x:v>220</x:v>
      </x:c>
      <x:c r="L26" s="40" t="n">
        <x:f>IFERROR(INDEX('Role Cost Assumptions'!$B$2:$B$10,MATCH(B26,'Role Cost Assumptions'!$A$2:$A$10,0)),25)</x:f>
        <x:v>25</x:v>
      </x:c>
      <x:c r="M26" t="n">
        <x:f>'Volume Validation'!G26</x:f>
        <x:v>0</x:v>
      </x:c>
      <x:c r="N26" t="n">
        <x:f>IF('Volume Validation'!J26="Yes",I26*J26*K26,0)</x:f>
        <x:v>0</x:v>
      </x:c>
      <x:c r="O26" s="24" t="n">
        <x:f>N26*(D26+E26)/60*L26</x:f>
        <x:v>0</x:v>
      </x:c>
      <x:c r="P26" t="str">
        <x:f>IF(A26="","",IF('Volume Validation'!J26&lt;&gt;"Yes","HOLD - VOLUME UNVALIDATED",IF(C26&lt;5,"HOLD - LOW TIMING SAMPLE","PROVISIONAL RANKING READY")))</x:f>
      </x:c>
    </x:row>
    <x:row r="27">
      <x:c r="A27" t="n">
        <x:f>'Volume Validation'!A27</x:f>
        <x:v>0</x:v>
      </x:c>
      <x:c r="B27" t="n">
        <x:f>'Volume Validation'!B27</x:f>
        <x:v>0</x:v>
      </x:c>
      <x:c r="C27" t="n">
        <x:f>IF(A27="",0,COUNTIFS('TO Observations'!$X$2:$X$201,A27,'TO Observations'!$C$2:$C$201,B27,'TO Observations'!$AN$2:$AN$201,"Yes"))</x:f>
        <x:v>0</x:v>
      </x:c>
      <x:c r="D27" t="n">
        <x:f>IF(C27=0,0,SUMIFS('TO Observations'!$H$2:$H$201,'TO Observations'!$X$2:$X$201,A27,'TO Observations'!$C$2:$C$201,B27,'TO Observations'!$AN$2:$AN$201,"Yes")/C27)</x:f>
        <x:v>0</x:v>
      </x:c>
      <x:c r="E27" t="n">
        <x:f>IF(C27=0,0,SUMIFS('TO Observations'!$Q$2:$Q$201,'TO Observations'!$X$2:$X$201,A27,'TO Observations'!$C$2:$C$201,B27,'TO Observations'!$AN$2:$AN$201,"Yes")/C27)</x:f>
        <x:v>0</x:v>
      </x:c>
      <x:c r="F27" s="59" t="n">
        <x:f>IF(C27=0,0,COUNTIFS('TO Observations'!$X$2:$X$201,A27,'TO Observations'!$C$2:$C$201,B27,'TO Observations'!$O$2:$O$201,"Yes",'TO Observations'!$AN$2:$AN$201,"Yes")/C27)</x:f>
        <x:v>0</x:v>
      </x:c>
      <x:c r="G27" s="59" t="n">
        <x:f>IF(C27=0,0,COUNTIFS('TO Observations'!$X$2:$X$201,A27,'TO Observations'!$C$2:$C$201,B27,'TO Observations'!$P$2:$P$201,"Yes",'TO Observations'!$AN$2:$AN$201,"Yes")/C27)</x:f>
        <x:v>0</x:v>
      </x:c>
      <x:c r="H27" t="n">
        <x:f>IF(C27=0,0,SUMIFS('TO Observations'!$K$2:$K$201,'TO Observations'!$X$2:$X$201,A27,'TO Observations'!$C$2:$C$201,B27,'TO Observations'!$AN$2:$AN$201,"Yes")/C27)</x:f>
        <x:v>0</x:v>
      </x:c>
      <x:c r="I27" t="n">
        <x:f>'Volume Validation'!D27</x:f>
        <x:v>0</x:v>
      </x:c>
      <x:c r="J27" t="n">
        <x:f>'Volume Validation'!E27</x:f>
        <x:v>0</x:v>
      </x:c>
      <x:c r="K27" t="n">
        <x:f>'Volume Validation'!F27</x:f>
        <x:v>220</x:v>
      </x:c>
      <x:c r="L27" s="40" t="n">
        <x:f>IFERROR(INDEX('Role Cost Assumptions'!$B$2:$B$10,MATCH(B27,'Role Cost Assumptions'!$A$2:$A$10,0)),25)</x:f>
        <x:v>25</x:v>
      </x:c>
      <x:c r="M27" t="n">
        <x:f>'Volume Validation'!G27</x:f>
        <x:v>0</x:v>
      </x:c>
      <x:c r="N27" t="n">
        <x:f>IF('Volume Validation'!J27="Yes",I27*J27*K27,0)</x:f>
        <x:v>0</x:v>
      </x:c>
      <x:c r="O27" s="24" t="n">
        <x:f>N27*(D27+E27)/60*L27</x:f>
        <x:v>0</x:v>
      </x:c>
      <x:c r="P27" t="str">
        <x:f>IF(A27="","",IF('Volume Validation'!J27&lt;&gt;"Yes","HOLD - VOLUME UNVALIDATED",IF(C27&lt;5,"HOLD - LOW TIMING SAMPLE","PROVISIONAL RANKING READY")))</x:f>
      </x:c>
    </x:row>
    <x:row r="28">
      <x:c r="A28" t="n">
        <x:f>'Volume Validation'!A28</x:f>
        <x:v>0</x:v>
      </x:c>
      <x:c r="B28" t="n">
        <x:f>'Volume Validation'!B28</x:f>
        <x:v>0</x:v>
      </x:c>
      <x:c r="C28" t="n">
        <x:f>IF(A28="",0,COUNTIFS('TO Observations'!$X$2:$X$201,A28,'TO Observations'!$C$2:$C$201,B28,'TO Observations'!$AN$2:$AN$201,"Yes"))</x:f>
        <x:v>0</x:v>
      </x:c>
      <x:c r="D28" t="n">
        <x:f>IF(C28=0,0,SUMIFS('TO Observations'!$H$2:$H$201,'TO Observations'!$X$2:$X$201,A28,'TO Observations'!$C$2:$C$201,B28,'TO Observations'!$AN$2:$AN$201,"Yes")/C28)</x:f>
        <x:v>0</x:v>
      </x:c>
      <x:c r="E28" t="n">
        <x:f>IF(C28=0,0,SUMIFS('TO Observations'!$Q$2:$Q$201,'TO Observations'!$X$2:$X$201,A28,'TO Observations'!$C$2:$C$201,B28,'TO Observations'!$AN$2:$AN$201,"Yes")/C28)</x:f>
        <x:v>0</x:v>
      </x:c>
      <x:c r="F28" s="59" t="n">
        <x:f>IF(C28=0,0,COUNTIFS('TO Observations'!$X$2:$X$201,A28,'TO Observations'!$C$2:$C$201,B28,'TO Observations'!$O$2:$O$201,"Yes",'TO Observations'!$AN$2:$AN$201,"Yes")/C28)</x:f>
        <x:v>0</x:v>
      </x:c>
      <x:c r="G28" s="59" t="n">
        <x:f>IF(C28=0,0,COUNTIFS('TO Observations'!$X$2:$X$201,A28,'TO Observations'!$C$2:$C$201,B28,'TO Observations'!$P$2:$P$201,"Yes",'TO Observations'!$AN$2:$AN$201,"Yes")/C28)</x:f>
        <x:v>0</x:v>
      </x:c>
      <x:c r="H28" t="n">
        <x:f>IF(C28=0,0,SUMIFS('TO Observations'!$K$2:$K$201,'TO Observations'!$X$2:$X$201,A28,'TO Observations'!$C$2:$C$201,B28,'TO Observations'!$AN$2:$AN$201,"Yes")/C28)</x:f>
        <x:v>0</x:v>
      </x:c>
      <x:c r="I28" t="n">
        <x:f>'Volume Validation'!D28</x:f>
        <x:v>0</x:v>
      </x:c>
      <x:c r="J28" t="n">
        <x:f>'Volume Validation'!E28</x:f>
        <x:v>0</x:v>
      </x:c>
      <x:c r="K28" t="n">
        <x:f>'Volume Validation'!F28</x:f>
        <x:v>220</x:v>
      </x:c>
      <x:c r="L28" s="40" t="n">
        <x:f>IFERROR(INDEX('Role Cost Assumptions'!$B$2:$B$10,MATCH(B28,'Role Cost Assumptions'!$A$2:$A$10,0)),25)</x:f>
        <x:v>25</x:v>
      </x:c>
      <x:c r="M28" t="n">
        <x:f>'Volume Validation'!G28</x:f>
        <x:v>0</x:v>
      </x:c>
      <x:c r="N28" t="n">
        <x:f>IF('Volume Validation'!J28="Yes",I28*J28*K28,0)</x:f>
        <x:v>0</x:v>
      </x:c>
      <x:c r="O28" s="24" t="n">
        <x:f>N28*(D28+E28)/60*L28</x:f>
        <x:v>0</x:v>
      </x:c>
      <x:c r="P28" t="str">
        <x:f>IF(A28="","",IF('Volume Validation'!J28&lt;&gt;"Yes","HOLD - VOLUME UNVALIDATED",IF(C28&lt;5,"HOLD - LOW TIMING SAMPLE","PROVISIONAL RANKING READY")))</x:f>
      </x:c>
    </x:row>
    <x:row r="29">
      <x:c r="A29" t="n">
        <x:f>'Volume Validation'!A29</x:f>
        <x:v>0</x:v>
      </x:c>
      <x:c r="B29" t="n">
        <x:f>'Volume Validation'!B29</x:f>
        <x:v>0</x:v>
      </x:c>
      <x:c r="C29" t="n">
        <x:f>IF(A29="",0,COUNTIFS('TO Observations'!$X$2:$X$201,A29,'TO Observations'!$C$2:$C$201,B29,'TO Observations'!$AN$2:$AN$201,"Yes"))</x:f>
        <x:v>0</x:v>
      </x:c>
      <x:c r="D29" t="n">
        <x:f>IF(C29=0,0,SUMIFS('TO Observations'!$H$2:$H$201,'TO Observations'!$X$2:$X$201,A29,'TO Observations'!$C$2:$C$201,B29,'TO Observations'!$AN$2:$AN$201,"Yes")/C29)</x:f>
        <x:v>0</x:v>
      </x:c>
      <x:c r="E29" t="n">
        <x:f>IF(C29=0,0,SUMIFS('TO Observations'!$Q$2:$Q$201,'TO Observations'!$X$2:$X$201,A29,'TO Observations'!$C$2:$C$201,B29,'TO Observations'!$AN$2:$AN$201,"Yes")/C29)</x:f>
        <x:v>0</x:v>
      </x:c>
      <x:c r="F29" s="59" t="n">
        <x:f>IF(C29=0,0,COUNTIFS('TO Observations'!$X$2:$X$201,A29,'TO Observations'!$C$2:$C$201,B29,'TO Observations'!$O$2:$O$201,"Yes",'TO Observations'!$AN$2:$AN$201,"Yes")/C29)</x:f>
        <x:v>0</x:v>
      </x:c>
      <x:c r="G29" s="59" t="n">
        <x:f>IF(C29=0,0,COUNTIFS('TO Observations'!$X$2:$X$201,A29,'TO Observations'!$C$2:$C$201,B29,'TO Observations'!$P$2:$P$201,"Yes",'TO Observations'!$AN$2:$AN$201,"Yes")/C29)</x:f>
        <x:v>0</x:v>
      </x:c>
      <x:c r="H29" t="n">
        <x:f>IF(C29=0,0,SUMIFS('TO Observations'!$K$2:$K$201,'TO Observations'!$X$2:$X$201,A29,'TO Observations'!$C$2:$C$201,B29,'TO Observations'!$AN$2:$AN$201,"Yes")/C29)</x:f>
        <x:v>0</x:v>
      </x:c>
      <x:c r="I29" t="n">
        <x:f>'Volume Validation'!D29</x:f>
        <x:v>0</x:v>
      </x:c>
      <x:c r="J29" t="n">
        <x:f>'Volume Validation'!E29</x:f>
        <x:v>0</x:v>
      </x:c>
      <x:c r="K29" t="n">
        <x:f>'Volume Validation'!F29</x:f>
        <x:v>220</x:v>
      </x:c>
      <x:c r="L29" s="40" t="n">
        <x:f>IFERROR(INDEX('Role Cost Assumptions'!$B$2:$B$10,MATCH(B29,'Role Cost Assumptions'!$A$2:$A$10,0)),25)</x:f>
        <x:v>25</x:v>
      </x:c>
      <x:c r="M29" t="n">
        <x:f>'Volume Validation'!G29</x:f>
        <x:v>0</x:v>
      </x:c>
      <x:c r="N29" t="n">
        <x:f>IF('Volume Validation'!J29="Yes",I29*J29*K29,0)</x:f>
        <x:v>0</x:v>
      </x:c>
      <x:c r="O29" s="24" t="n">
        <x:f>N29*(D29+E29)/60*L29</x:f>
        <x:v>0</x:v>
      </x:c>
      <x:c r="P29" t="str">
        <x:f>IF(A29="","",IF('Volume Validation'!J29&lt;&gt;"Yes","HOLD - VOLUME UNVALIDATED",IF(C29&lt;5,"HOLD - LOW TIMING SAMPLE","PROVISIONAL RANKING READY")))</x:f>
      </x:c>
    </x:row>
    <x:row r="30">
      <x:c r="A30" t="n">
        <x:f>'Volume Validation'!A30</x:f>
        <x:v>0</x:v>
      </x:c>
      <x:c r="B30" t="n">
        <x:f>'Volume Validation'!B30</x:f>
        <x:v>0</x:v>
      </x:c>
      <x:c r="C30" t="n">
        <x:f>IF(A30="",0,COUNTIFS('TO Observations'!$X$2:$X$201,A30,'TO Observations'!$C$2:$C$201,B30,'TO Observations'!$AN$2:$AN$201,"Yes"))</x:f>
        <x:v>0</x:v>
      </x:c>
      <x:c r="D30" t="n">
        <x:f>IF(C30=0,0,SUMIFS('TO Observations'!$H$2:$H$201,'TO Observations'!$X$2:$X$201,A30,'TO Observations'!$C$2:$C$201,B30,'TO Observations'!$AN$2:$AN$201,"Yes")/C30)</x:f>
        <x:v>0</x:v>
      </x:c>
      <x:c r="E30" t="n">
        <x:f>IF(C30=0,0,SUMIFS('TO Observations'!$Q$2:$Q$201,'TO Observations'!$X$2:$X$201,A30,'TO Observations'!$C$2:$C$201,B30,'TO Observations'!$AN$2:$AN$201,"Yes")/C30)</x:f>
        <x:v>0</x:v>
      </x:c>
      <x:c r="F30" s="59" t="n">
        <x:f>IF(C30=0,0,COUNTIFS('TO Observations'!$X$2:$X$201,A30,'TO Observations'!$C$2:$C$201,B30,'TO Observations'!$O$2:$O$201,"Yes",'TO Observations'!$AN$2:$AN$201,"Yes")/C30)</x:f>
        <x:v>0</x:v>
      </x:c>
      <x:c r="G30" s="59" t="n">
        <x:f>IF(C30=0,0,COUNTIFS('TO Observations'!$X$2:$X$201,A30,'TO Observations'!$C$2:$C$201,B30,'TO Observations'!$P$2:$P$201,"Yes",'TO Observations'!$AN$2:$AN$201,"Yes")/C30)</x:f>
        <x:v>0</x:v>
      </x:c>
      <x:c r="H30" t="n">
        <x:f>IF(C30=0,0,SUMIFS('TO Observations'!$K$2:$K$201,'TO Observations'!$X$2:$X$201,A30,'TO Observations'!$C$2:$C$201,B30,'TO Observations'!$AN$2:$AN$201,"Yes")/C30)</x:f>
        <x:v>0</x:v>
      </x:c>
      <x:c r="I30" t="n">
        <x:f>'Volume Validation'!D30</x:f>
        <x:v>0</x:v>
      </x:c>
      <x:c r="J30" t="n">
        <x:f>'Volume Validation'!E30</x:f>
        <x:v>0</x:v>
      </x:c>
      <x:c r="K30" t="n">
        <x:f>'Volume Validation'!F30</x:f>
        <x:v>220</x:v>
      </x:c>
      <x:c r="L30" s="40" t="n">
        <x:f>IFERROR(INDEX('Role Cost Assumptions'!$B$2:$B$10,MATCH(B30,'Role Cost Assumptions'!$A$2:$A$10,0)),25)</x:f>
        <x:v>25</x:v>
      </x:c>
      <x:c r="M30" t="n">
        <x:f>'Volume Validation'!G30</x:f>
        <x:v>0</x:v>
      </x:c>
      <x:c r="N30" t="n">
        <x:f>IF('Volume Validation'!J30="Yes",I30*J30*K30,0)</x:f>
        <x:v>0</x:v>
      </x:c>
      <x:c r="O30" s="24" t="n">
        <x:f>N30*(D30+E30)/60*L30</x:f>
        <x:v>0</x:v>
      </x:c>
      <x:c r="P30" t="str">
        <x:f>IF(A30="","",IF('Volume Validation'!J30&lt;&gt;"Yes","HOLD - VOLUME UNVALIDATED",IF(C30&lt;5,"HOLD - LOW TIMING SAMPLE","PROVISIONAL RANKING READY")))</x:f>
      </x:c>
    </x:row>
    <x:row r="31">
      <x:c r="A31" t="n">
        <x:f>'Volume Validation'!A31</x:f>
        <x:v>0</x:v>
      </x:c>
      <x:c r="B31" t="n">
        <x:f>'Volume Validation'!B31</x:f>
        <x:v>0</x:v>
      </x:c>
      <x:c r="C31" t="n">
        <x:f>IF(A31="",0,COUNTIFS('TO Observations'!$X$2:$X$201,A31,'TO Observations'!$C$2:$C$201,B31,'TO Observations'!$AN$2:$AN$201,"Yes"))</x:f>
        <x:v>0</x:v>
      </x:c>
      <x:c r="D31" t="n">
        <x:f>IF(C31=0,0,SUMIFS('TO Observations'!$H$2:$H$201,'TO Observations'!$X$2:$X$201,A31,'TO Observations'!$C$2:$C$201,B31,'TO Observations'!$AN$2:$AN$201,"Yes")/C31)</x:f>
        <x:v>0</x:v>
      </x:c>
      <x:c r="E31" t="n">
        <x:f>IF(C31=0,0,SUMIFS('TO Observations'!$Q$2:$Q$201,'TO Observations'!$X$2:$X$201,A31,'TO Observations'!$C$2:$C$201,B31,'TO Observations'!$AN$2:$AN$201,"Yes")/C31)</x:f>
        <x:v>0</x:v>
      </x:c>
      <x:c r="F31" s="59" t="n">
        <x:f>IF(C31=0,0,COUNTIFS('TO Observations'!$X$2:$X$201,A31,'TO Observations'!$C$2:$C$201,B31,'TO Observations'!$O$2:$O$201,"Yes",'TO Observations'!$AN$2:$AN$201,"Yes")/C31)</x:f>
        <x:v>0</x:v>
      </x:c>
      <x:c r="G31" s="59" t="n">
        <x:f>IF(C31=0,0,COUNTIFS('TO Observations'!$X$2:$X$201,A31,'TO Observations'!$C$2:$C$201,B31,'TO Observations'!$P$2:$P$201,"Yes",'TO Observations'!$AN$2:$AN$201,"Yes")/C31)</x:f>
        <x:v>0</x:v>
      </x:c>
      <x:c r="H31" t="n">
        <x:f>IF(C31=0,0,SUMIFS('TO Observations'!$K$2:$K$201,'TO Observations'!$X$2:$X$201,A31,'TO Observations'!$C$2:$C$201,B31,'TO Observations'!$AN$2:$AN$201,"Yes")/C31)</x:f>
        <x:v>0</x:v>
      </x:c>
      <x:c r="I31" t="n">
        <x:f>'Volume Validation'!D31</x:f>
        <x:v>0</x:v>
      </x:c>
      <x:c r="J31" t="n">
        <x:f>'Volume Validation'!E31</x:f>
        <x:v>0</x:v>
      </x:c>
      <x:c r="K31" t="n">
        <x:f>'Volume Validation'!F31</x:f>
        <x:v>220</x:v>
      </x:c>
      <x:c r="L31" s="40" t="n">
        <x:f>IFERROR(INDEX('Role Cost Assumptions'!$B$2:$B$10,MATCH(B31,'Role Cost Assumptions'!$A$2:$A$10,0)),25)</x:f>
        <x:v>25</x:v>
      </x:c>
      <x:c r="M31" t="n">
        <x:f>'Volume Validation'!G31</x:f>
        <x:v>0</x:v>
      </x:c>
      <x:c r="N31" t="n">
        <x:f>IF('Volume Validation'!J31="Yes",I31*J31*K31,0)</x:f>
        <x:v>0</x:v>
      </x:c>
      <x:c r="O31" s="24" t="n">
        <x:f>N31*(D31+E31)/60*L31</x:f>
        <x:v>0</x:v>
      </x:c>
      <x:c r="P31" t="str">
        <x:f>IF(A31="","",IF('Volume Validation'!J31&lt;&gt;"Yes","HOLD - VOLUME UNVALIDATED",IF(C31&lt;5,"HOLD - LOW TIMING SAMPLE","PROVISIONAL RANKING READY")))</x:f>
      </x:c>
    </x:row>
    <x:row r="32">
      <x:c r="A32" t="n">
        <x:f>'Volume Validation'!A32</x:f>
        <x:v>0</x:v>
      </x:c>
      <x:c r="B32" t="n">
        <x:f>'Volume Validation'!B32</x:f>
        <x:v>0</x:v>
      </x:c>
      <x:c r="C32" t="n">
        <x:f>IF(A32="",0,COUNTIFS('TO Observations'!$X$2:$X$201,A32,'TO Observations'!$C$2:$C$201,B32,'TO Observations'!$AN$2:$AN$201,"Yes"))</x:f>
        <x:v>0</x:v>
      </x:c>
      <x:c r="D32" t="n">
        <x:f>IF(C32=0,0,SUMIFS('TO Observations'!$H$2:$H$201,'TO Observations'!$X$2:$X$201,A32,'TO Observations'!$C$2:$C$201,B32,'TO Observations'!$AN$2:$AN$201,"Yes")/C32)</x:f>
        <x:v>0</x:v>
      </x:c>
      <x:c r="E32" t="n">
        <x:f>IF(C32=0,0,SUMIFS('TO Observations'!$Q$2:$Q$201,'TO Observations'!$X$2:$X$201,A32,'TO Observations'!$C$2:$C$201,B32,'TO Observations'!$AN$2:$AN$201,"Yes")/C32)</x:f>
        <x:v>0</x:v>
      </x:c>
      <x:c r="F32" s="59" t="n">
        <x:f>IF(C32=0,0,COUNTIFS('TO Observations'!$X$2:$X$201,A32,'TO Observations'!$C$2:$C$201,B32,'TO Observations'!$O$2:$O$201,"Yes",'TO Observations'!$AN$2:$AN$201,"Yes")/C32)</x:f>
        <x:v>0</x:v>
      </x:c>
      <x:c r="G32" s="59" t="n">
        <x:f>IF(C32=0,0,COUNTIFS('TO Observations'!$X$2:$X$201,A32,'TO Observations'!$C$2:$C$201,B32,'TO Observations'!$P$2:$P$201,"Yes",'TO Observations'!$AN$2:$AN$201,"Yes")/C32)</x:f>
        <x:v>0</x:v>
      </x:c>
      <x:c r="H32" t="n">
        <x:f>IF(C32=0,0,SUMIFS('TO Observations'!$K$2:$K$201,'TO Observations'!$X$2:$X$201,A32,'TO Observations'!$C$2:$C$201,B32,'TO Observations'!$AN$2:$AN$201,"Yes")/C32)</x:f>
        <x:v>0</x:v>
      </x:c>
      <x:c r="I32" t="n">
        <x:f>'Volume Validation'!D32</x:f>
        <x:v>0</x:v>
      </x:c>
      <x:c r="J32" t="n">
        <x:f>'Volume Validation'!E32</x:f>
        <x:v>0</x:v>
      </x:c>
      <x:c r="K32" t="n">
        <x:f>'Volume Validation'!F32</x:f>
        <x:v>220</x:v>
      </x:c>
      <x:c r="L32" s="40" t="n">
        <x:f>IFERROR(INDEX('Role Cost Assumptions'!$B$2:$B$10,MATCH(B32,'Role Cost Assumptions'!$A$2:$A$10,0)),25)</x:f>
        <x:v>25</x:v>
      </x:c>
      <x:c r="M32" t="n">
        <x:f>'Volume Validation'!G32</x:f>
        <x:v>0</x:v>
      </x:c>
      <x:c r="N32" t="n">
        <x:f>IF('Volume Validation'!J32="Yes",I32*J32*K32,0)</x:f>
        <x:v>0</x:v>
      </x:c>
      <x:c r="O32" s="24" t="n">
        <x:f>N32*(D32+E32)/60*L32</x:f>
        <x:v>0</x:v>
      </x:c>
      <x:c r="P32" t="str">
        <x:f>IF(A32="","",IF('Volume Validation'!J32&lt;&gt;"Yes","HOLD - VOLUME UNVALIDATED",IF(C32&lt;5,"HOLD - LOW TIMING SAMPLE","PROVISIONAL RANKING READY")))</x:f>
      </x:c>
    </x:row>
    <x:row r="33">
      <x:c r="A33" t="n">
        <x:f>'Volume Validation'!A33</x:f>
        <x:v>0</x:v>
      </x:c>
      <x:c r="B33" t="n">
        <x:f>'Volume Validation'!B33</x:f>
        <x:v>0</x:v>
      </x:c>
      <x:c r="C33" t="n">
        <x:f>IF(A33="",0,COUNTIFS('TO Observations'!$X$2:$X$201,A33,'TO Observations'!$C$2:$C$201,B33,'TO Observations'!$AN$2:$AN$201,"Yes"))</x:f>
        <x:v>0</x:v>
      </x:c>
      <x:c r="D33" t="n">
        <x:f>IF(C33=0,0,SUMIFS('TO Observations'!$H$2:$H$201,'TO Observations'!$X$2:$X$201,A33,'TO Observations'!$C$2:$C$201,B33,'TO Observations'!$AN$2:$AN$201,"Yes")/C33)</x:f>
        <x:v>0</x:v>
      </x:c>
      <x:c r="E33" t="n">
        <x:f>IF(C33=0,0,SUMIFS('TO Observations'!$Q$2:$Q$201,'TO Observations'!$X$2:$X$201,A33,'TO Observations'!$C$2:$C$201,B33,'TO Observations'!$AN$2:$AN$201,"Yes")/C33)</x:f>
        <x:v>0</x:v>
      </x:c>
      <x:c r="F33" s="59" t="n">
        <x:f>IF(C33=0,0,COUNTIFS('TO Observations'!$X$2:$X$201,A33,'TO Observations'!$C$2:$C$201,B33,'TO Observations'!$O$2:$O$201,"Yes",'TO Observations'!$AN$2:$AN$201,"Yes")/C33)</x:f>
        <x:v>0</x:v>
      </x:c>
      <x:c r="G33" s="59" t="n">
        <x:f>IF(C33=0,0,COUNTIFS('TO Observations'!$X$2:$X$201,A33,'TO Observations'!$C$2:$C$201,B33,'TO Observations'!$P$2:$P$201,"Yes",'TO Observations'!$AN$2:$AN$201,"Yes")/C33)</x:f>
        <x:v>0</x:v>
      </x:c>
      <x:c r="H33" t="n">
        <x:f>IF(C33=0,0,SUMIFS('TO Observations'!$K$2:$K$201,'TO Observations'!$X$2:$X$201,A33,'TO Observations'!$C$2:$C$201,B33,'TO Observations'!$AN$2:$AN$201,"Yes")/C33)</x:f>
        <x:v>0</x:v>
      </x:c>
      <x:c r="I33" t="n">
        <x:f>'Volume Validation'!D33</x:f>
        <x:v>0</x:v>
      </x:c>
      <x:c r="J33" t="n">
        <x:f>'Volume Validation'!E33</x:f>
        <x:v>0</x:v>
      </x:c>
      <x:c r="K33" t="n">
        <x:f>'Volume Validation'!F33</x:f>
        <x:v>220</x:v>
      </x:c>
      <x:c r="L33" s="40" t="n">
        <x:f>IFERROR(INDEX('Role Cost Assumptions'!$B$2:$B$10,MATCH(B33,'Role Cost Assumptions'!$A$2:$A$10,0)),25)</x:f>
        <x:v>25</x:v>
      </x:c>
      <x:c r="M33" t="n">
        <x:f>'Volume Validation'!G33</x:f>
        <x:v>0</x:v>
      </x:c>
      <x:c r="N33" t="n">
        <x:f>IF('Volume Validation'!J33="Yes",I33*J33*K33,0)</x:f>
        <x:v>0</x:v>
      </x:c>
      <x:c r="O33" s="24" t="n">
        <x:f>N33*(D33+E33)/60*L33</x:f>
        <x:v>0</x:v>
      </x:c>
      <x:c r="P33" t="str">
        <x:f>IF(A33="","",IF('Volume Validation'!J33&lt;&gt;"Yes","HOLD - VOLUME UNVALIDATED",IF(C33&lt;5,"HOLD - LOW TIMING SAMPLE","PROVISIONAL RANKING READY")))</x:f>
      </x:c>
    </x:row>
    <x:row r="34">
      <x:c r="A34" t="n">
        <x:f>'Volume Validation'!A34</x:f>
        <x:v>0</x:v>
      </x:c>
      <x:c r="B34" t="n">
        <x:f>'Volume Validation'!B34</x:f>
        <x:v>0</x:v>
      </x:c>
      <x:c r="C34" t="n">
        <x:f>IF(A34="",0,COUNTIFS('TO Observations'!$X$2:$X$201,A34,'TO Observations'!$C$2:$C$201,B34,'TO Observations'!$AN$2:$AN$201,"Yes"))</x:f>
        <x:v>0</x:v>
      </x:c>
      <x:c r="D34" t="n">
        <x:f>IF(C34=0,0,SUMIFS('TO Observations'!$H$2:$H$201,'TO Observations'!$X$2:$X$201,A34,'TO Observations'!$C$2:$C$201,B34,'TO Observations'!$AN$2:$AN$201,"Yes")/C34)</x:f>
        <x:v>0</x:v>
      </x:c>
      <x:c r="E34" t="n">
        <x:f>IF(C34=0,0,SUMIFS('TO Observations'!$Q$2:$Q$201,'TO Observations'!$X$2:$X$201,A34,'TO Observations'!$C$2:$C$201,B34,'TO Observations'!$AN$2:$AN$201,"Yes")/C34)</x:f>
        <x:v>0</x:v>
      </x:c>
      <x:c r="F34" s="59" t="n">
        <x:f>IF(C34=0,0,COUNTIFS('TO Observations'!$X$2:$X$201,A34,'TO Observations'!$C$2:$C$201,B34,'TO Observations'!$O$2:$O$201,"Yes",'TO Observations'!$AN$2:$AN$201,"Yes")/C34)</x:f>
        <x:v>0</x:v>
      </x:c>
      <x:c r="G34" s="59" t="n">
        <x:f>IF(C34=0,0,COUNTIFS('TO Observations'!$X$2:$X$201,A34,'TO Observations'!$C$2:$C$201,B34,'TO Observations'!$P$2:$P$201,"Yes",'TO Observations'!$AN$2:$AN$201,"Yes")/C34)</x:f>
        <x:v>0</x:v>
      </x:c>
      <x:c r="H34" t="n">
        <x:f>IF(C34=0,0,SUMIFS('TO Observations'!$K$2:$K$201,'TO Observations'!$X$2:$X$201,A34,'TO Observations'!$C$2:$C$201,B34,'TO Observations'!$AN$2:$AN$201,"Yes")/C34)</x:f>
        <x:v>0</x:v>
      </x:c>
      <x:c r="I34" t="n">
        <x:f>'Volume Validation'!D34</x:f>
        <x:v>0</x:v>
      </x:c>
      <x:c r="J34" t="n">
        <x:f>'Volume Validation'!E34</x:f>
        <x:v>0</x:v>
      </x:c>
      <x:c r="K34" t="n">
        <x:f>'Volume Validation'!F34</x:f>
        <x:v>220</x:v>
      </x:c>
      <x:c r="L34" s="40" t="n">
        <x:f>IFERROR(INDEX('Role Cost Assumptions'!$B$2:$B$10,MATCH(B34,'Role Cost Assumptions'!$A$2:$A$10,0)),25)</x:f>
        <x:v>25</x:v>
      </x:c>
      <x:c r="M34" t="n">
        <x:f>'Volume Validation'!G34</x:f>
        <x:v>0</x:v>
      </x:c>
      <x:c r="N34" t="n">
        <x:f>IF('Volume Validation'!J34="Yes",I34*J34*K34,0)</x:f>
        <x:v>0</x:v>
      </x:c>
      <x:c r="O34" s="24" t="n">
        <x:f>N34*(D34+E34)/60*L34</x:f>
        <x:v>0</x:v>
      </x:c>
      <x:c r="P34" t="str">
        <x:f>IF(A34="","",IF('Volume Validation'!J34&lt;&gt;"Yes","HOLD - VOLUME UNVALIDATED",IF(C34&lt;5,"HOLD - LOW TIMING SAMPLE","PROVISIONAL RANKING READY")))</x:f>
      </x:c>
    </x:row>
    <x:row r="35">
      <x:c r="A35" t="n">
        <x:f>'Volume Validation'!A35</x:f>
        <x:v>0</x:v>
      </x:c>
      <x:c r="B35" t="n">
        <x:f>'Volume Validation'!B35</x:f>
        <x:v>0</x:v>
      </x:c>
      <x:c r="C35" t="n">
        <x:f>IF(A35="",0,COUNTIFS('TO Observations'!$X$2:$X$201,A35,'TO Observations'!$C$2:$C$201,B35,'TO Observations'!$AN$2:$AN$201,"Yes"))</x:f>
        <x:v>0</x:v>
      </x:c>
      <x:c r="D35" t="n">
        <x:f>IF(C35=0,0,SUMIFS('TO Observations'!$H$2:$H$201,'TO Observations'!$X$2:$X$201,A35,'TO Observations'!$C$2:$C$201,B35,'TO Observations'!$AN$2:$AN$201,"Yes")/C35)</x:f>
        <x:v>0</x:v>
      </x:c>
      <x:c r="E35" t="n">
        <x:f>IF(C35=0,0,SUMIFS('TO Observations'!$Q$2:$Q$201,'TO Observations'!$X$2:$X$201,A35,'TO Observations'!$C$2:$C$201,B35,'TO Observations'!$AN$2:$AN$201,"Yes")/C35)</x:f>
        <x:v>0</x:v>
      </x:c>
      <x:c r="F35" s="59" t="n">
        <x:f>IF(C35=0,0,COUNTIFS('TO Observations'!$X$2:$X$201,A35,'TO Observations'!$C$2:$C$201,B35,'TO Observations'!$O$2:$O$201,"Yes",'TO Observations'!$AN$2:$AN$201,"Yes")/C35)</x:f>
        <x:v>0</x:v>
      </x:c>
      <x:c r="G35" s="59" t="n">
        <x:f>IF(C35=0,0,COUNTIFS('TO Observations'!$X$2:$X$201,A35,'TO Observations'!$C$2:$C$201,B35,'TO Observations'!$P$2:$P$201,"Yes",'TO Observations'!$AN$2:$AN$201,"Yes")/C35)</x:f>
        <x:v>0</x:v>
      </x:c>
      <x:c r="H35" t="n">
        <x:f>IF(C35=0,0,SUMIFS('TO Observations'!$K$2:$K$201,'TO Observations'!$X$2:$X$201,A35,'TO Observations'!$C$2:$C$201,B35,'TO Observations'!$AN$2:$AN$201,"Yes")/C35)</x:f>
        <x:v>0</x:v>
      </x:c>
      <x:c r="I35" t="n">
        <x:f>'Volume Validation'!D35</x:f>
        <x:v>0</x:v>
      </x:c>
      <x:c r="J35" t="n">
        <x:f>'Volume Validation'!E35</x:f>
        <x:v>0</x:v>
      </x:c>
      <x:c r="K35" t="n">
        <x:f>'Volume Validation'!F35</x:f>
        <x:v>220</x:v>
      </x:c>
      <x:c r="L35" s="40" t="n">
        <x:f>IFERROR(INDEX('Role Cost Assumptions'!$B$2:$B$10,MATCH(B35,'Role Cost Assumptions'!$A$2:$A$10,0)),25)</x:f>
        <x:v>25</x:v>
      </x:c>
      <x:c r="M35" t="n">
        <x:f>'Volume Validation'!G35</x:f>
        <x:v>0</x:v>
      </x:c>
      <x:c r="N35" t="n">
        <x:f>IF('Volume Validation'!J35="Yes",I35*J35*K35,0)</x:f>
        <x:v>0</x:v>
      </x:c>
      <x:c r="O35" s="24" t="n">
        <x:f>N35*(D35+E35)/60*L35</x:f>
        <x:v>0</x:v>
      </x:c>
      <x:c r="P35" t="str">
        <x:f>IF(A35="","",IF('Volume Validation'!J35&lt;&gt;"Yes","HOLD - VOLUME UNVALIDATED",IF(C35&lt;5,"HOLD - LOW TIMING SAMPLE","PROVISIONAL RANKING READY")))</x:f>
      </x:c>
    </x:row>
    <x:row r="36">
      <x:c r="A36" t="n">
        <x:f>'Volume Validation'!A36</x:f>
        <x:v>0</x:v>
      </x:c>
      <x:c r="B36" t="n">
        <x:f>'Volume Validation'!B36</x:f>
        <x:v>0</x:v>
      </x:c>
      <x:c r="C36" t="n">
        <x:f>IF(A36="",0,COUNTIFS('TO Observations'!$X$2:$X$201,A36,'TO Observations'!$C$2:$C$201,B36,'TO Observations'!$AN$2:$AN$201,"Yes"))</x:f>
        <x:v>0</x:v>
      </x:c>
      <x:c r="D36" t="n">
        <x:f>IF(C36=0,0,SUMIFS('TO Observations'!$H$2:$H$201,'TO Observations'!$X$2:$X$201,A36,'TO Observations'!$C$2:$C$201,B36,'TO Observations'!$AN$2:$AN$201,"Yes")/C36)</x:f>
        <x:v>0</x:v>
      </x:c>
      <x:c r="E36" t="n">
        <x:f>IF(C36=0,0,SUMIFS('TO Observations'!$Q$2:$Q$201,'TO Observations'!$X$2:$X$201,A36,'TO Observations'!$C$2:$C$201,B36,'TO Observations'!$AN$2:$AN$201,"Yes")/C36)</x:f>
        <x:v>0</x:v>
      </x:c>
      <x:c r="F36" s="59" t="n">
        <x:f>IF(C36=0,0,COUNTIFS('TO Observations'!$X$2:$X$201,A36,'TO Observations'!$C$2:$C$201,B36,'TO Observations'!$O$2:$O$201,"Yes",'TO Observations'!$AN$2:$AN$201,"Yes")/C36)</x:f>
        <x:v>0</x:v>
      </x:c>
      <x:c r="G36" s="59" t="n">
        <x:f>IF(C36=0,0,COUNTIFS('TO Observations'!$X$2:$X$201,A36,'TO Observations'!$C$2:$C$201,B36,'TO Observations'!$P$2:$P$201,"Yes",'TO Observations'!$AN$2:$AN$201,"Yes")/C36)</x:f>
        <x:v>0</x:v>
      </x:c>
      <x:c r="H36" t="n">
        <x:f>IF(C36=0,0,SUMIFS('TO Observations'!$K$2:$K$201,'TO Observations'!$X$2:$X$201,A36,'TO Observations'!$C$2:$C$201,B36,'TO Observations'!$AN$2:$AN$201,"Yes")/C36)</x:f>
        <x:v>0</x:v>
      </x:c>
      <x:c r="I36" t="n">
        <x:f>'Volume Validation'!D36</x:f>
        <x:v>0</x:v>
      </x:c>
      <x:c r="J36" t="n">
        <x:f>'Volume Validation'!E36</x:f>
        <x:v>0</x:v>
      </x:c>
      <x:c r="K36" t="n">
        <x:f>'Volume Validation'!F36</x:f>
        <x:v>220</x:v>
      </x:c>
      <x:c r="L36" s="40" t="n">
        <x:f>IFERROR(INDEX('Role Cost Assumptions'!$B$2:$B$10,MATCH(B36,'Role Cost Assumptions'!$A$2:$A$10,0)),25)</x:f>
        <x:v>25</x:v>
      </x:c>
      <x:c r="M36" t="n">
        <x:f>'Volume Validation'!G36</x:f>
        <x:v>0</x:v>
      </x:c>
      <x:c r="N36" t="n">
        <x:f>IF('Volume Validation'!J36="Yes",I36*J36*K36,0)</x:f>
        <x:v>0</x:v>
      </x:c>
      <x:c r="O36" s="24" t="n">
        <x:f>N36*(D36+E36)/60*L36</x:f>
        <x:v>0</x:v>
      </x:c>
      <x:c r="P36" t="str">
        <x:f>IF(A36="","",IF('Volume Validation'!J36&lt;&gt;"Yes","HOLD - VOLUME UNVALIDATED",IF(C36&lt;5,"HOLD - LOW TIMING SAMPLE","PROVISIONAL RANKING READY")))</x:f>
      </x:c>
    </x:row>
    <x:row r="37">
      <x:c r="A37" t="n">
        <x:f>'Volume Validation'!A37</x:f>
        <x:v>0</x:v>
      </x:c>
      <x:c r="B37" t="n">
        <x:f>'Volume Validation'!B37</x:f>
        <x:v>0</x:v>
      </x:c>
      <x:c r="C37" t="n">
        <x:f>IF(A37="",0,COUNTIFS('TO Observations'!$X$2:$X$201,A37,'TO Observations'!$C$2:$C$201,B37,'TO Observations'!$AN$2:$AN$201,"Yes"))</x:f>
        <x:v>0</x:v>
      </x:c>
      <x:c r="D37" t="n">
        <x:f>IF(C37=0,0,SUMIFS('TO Observations'!$H$2:$H$201,'TO Observations'!$X$2:$X$201,A37,'TO Observations'!$C$2:$C$201,B37,'TO Observations'!$AN$2:$AN$201,"Yes")/C37)</x:f>
        <x:v>0</x:v>
      </x:c>
      <x:c r="E37" t="n">
        <x:f>IF(C37=0,0,SUMIFS('TO Observations'!$Q$2:$Q$201,'TO Observations'!$X$2:$X$201,A37,'TO Observations'!$C$2:$C$201,B37,'TO Observations'!$AN$2:$AN$201,"Yes")/C37)</x:f>
        <x:v>0</x:v>
      </x:c>
      <x:c r="F37" s="59" t="n">
        <x:f>IF(C37=0,0,COUNTIFS('TO Observations'!$X$2:$X$201,A37,'TO Observations'!$C$2:$C$201,B37,'TO Observations'!$O$2:$O$201,"Yes",'TO Observations'!$AN$2:$AN$201,"Yes")/C37)</x:f>
        <x:v>0</x:v>
      </x:c>
      <x:c r="G37" s="59" t="n">
        <x:f>IF(C37=0,0,COUNTIFS('TO Observations'!$X$2:$X$201,A37,'TO Observations'!$C$2:$C$201,B37,'TO Observations'!$P$2:$P$201,"Yes",'TO Observations'!$AN$2:$AN$201,"Yes")/C37)</x:f>
        <x:v>0</x:v>
      </x:c>
      <x:c r="H37" t="n">
        <x:f>IF(C37=0,0,SUMIFS('TO Observations'!$K$2:$K$201,'TO Observations'!$X$2:$X$201,A37,'TO Observations'!$C$2:$C$201,B37,'TO Observations'!$AN$2:$AN$201,"Yes")/C37)</x:f>
        <x:v>0</x:v>
      </x:c>
      <x:c r="I37" t="n">
        <x:f>'Volume Validation'!D37</x:f>
        <x:v>0</x:v>
      </x:c>
      <x:c r="J37" t="n">
        <x:f>'Volume Validation'!E37</x:f>
        <x:v>0</x:v>
      </x:c>
      <x:c r="K37" t="n">
        <x:f>'Volume Validation'!F37</x:f>
        <x:v>220</x:v>
      </x:c>
      <x:c r="L37" s="40" t="n">
        <x:f>IFERROR(INDEX('Role Cost Assumptions'!$B$2:$B$10,MATCH(B37,'Role Cost Assumptions'!$A$2:$A$10,0)),25)</x:f>
        <x:v>25</x:v>
      </x:c>
      <x:c r="M37" t="n">
        <x:f>'Volume Validation'!G37</x:f>
        <x:v>0</x:v>
      </x:c>
      <x:c r="N37" t="n">
        <x:f>IF('Volume Validation'!J37="Yes",I37*J37*K37,0)</x:f>
        <x:v>0</x:v>
      </x:c>
      <x:c r="O37" s="24" t="n">
        <x:f>N37*(D37+E37)/60*L37</x:f>
        <x:v>0</x:v>
      </x:c>
      <x:c r="P37" t="str">
        <x:f>IF(A37="","",IF('Volume Validation'!J37&lt;&gt;"Yes","HOLD - VOLUME UNVALIDATED",IF(C37&lt;5,"HOLD - LOW TIMING SAMPLE","PROVISIONAL RANKING READY")))</x:f>
      </x:c>
    </x:row>
    <x:row r="38">
      <x:c r="A38" t="n">
        <x:f>'Volume Validation'!A38</x:f>
        <x:v>0</x:v>
      </x:c>
      <x:c r="B38" t="n">
        <x:f>'Volume Validation'!B38</x:f>
        <x:v>0</x:v>
      </x:c>
      <x:c r="C38" t="n">
        <x:f>IF(A38="",0,COUNTIFS('TO Observations'!$X$2:$X$201,A38,'TO Observations'!$C$2:$C$201,B38,'TO Observations'!$AN$2:$AN$201,"Yes"))</x:f>
        <x:v>0</x:v>
      </x:c>
      <x:c r="D38" t="n">
        <x:f>IF(C38=0,0,SUMIFS('TO Observations'!$H$2:$H$201,'TO Observations'!$X$2:$X$201,A38,'TO Observations'!$C$2:$C$201,B38,'TO Observations'!$AN$2:$AN$201,"Yes")/C38)</x:f>
        <x:v>0</x:v>
      </x:c>
      <x:c r="E38" t="n">
        <x:f>IF(C38=0,0,SUMIFS('TO Observations'!$Q$2:$Q$201,'TO Observations'!$X$2:$X$201,A38,'TO Observations'!$C$2:$C$201,B38,'TO Observations'!$AN$2:$AN$201,"Yes")/C38)</x:f>
        <x:v>0</x:v>
      </x:c>
      <x:c r="F38" s="59" t="n">
        <x:f>IF(C38=0,0,COUNTIFS('TO Observations'!$X$2:$X$201,A38,'TO Observations'!$C$2:$C$201,B38,'TO Observations'!$O$2:$O$201,"Yes",'TO Observations'!$AN$2:$AN$201,"Yes")/C38)</x:f>
        <x:v>0</x:v>
      </x:c>
      <x:c r="G38" s="59" t="n">
        <x:f>IF(C38=0,0,COUNTIFS('TO Observations'!$X$2:$X$201,A38,'TO Observations'!$C$2:$C$201,B38,'TO Observations'!$P$2:$P$201,"Yes",'TO Observations'!$AN$2:$AN$201,"Yes")/C38)</x:f>
        <x:v>0</x:v>
      </x:c>
      <x:c r="H38" t="n">
        <x:f>IF(C38=0,0,SUMIFS('TO Observations'!$K$2:$K$201,'TO Observations'!$X$2:$X$201,A38,'TO Observations'!$C$2:$C$201,B38,'TO Observations'!$AN$2:$AN$201,"Yes")/C38)</x:f>
        <x:v>0</x:v>
      </x:c>
      <x:c r="I38" t="n">
        <x:f>'Volume Validation'!D38</x:f>
        <x:v>0</x:v>
      </x:c>
      <x:c r="J38" t="n">
        <x:f>'Volume Validation'!E38</x:f>
        <x:v>0</x:v>
      </x:c>
      <x:c r="K38" t="n">
        <x:f>'Volume Validation'!F38</x:f>
        <x:v>220</x:v>
      </x:c>
      <x:c r="L38" s="40" t="n">
        <x:f>IFERROR(INDEX('Role Cost Assumptions'!$B$2:$B$10,MATCH(B38,'Role Cost Assumptions'!$A$2:$A$10,0)),25)</x:f>
        <x:v>25</x:v>
      </x:c>
      <x:c r="M38" t="n">
        <x:f>'Volume Validation'!G38</x:f>
        <x:v>0</x:v>
      </x:c>
      <x:c r="N38" t="n">
        <x:f>IF('Volume Validation'!J38="Yes",I38*J38*K38,0)</x:f>
        <x:v>0</x:v>
      </x:c>
      <x:c r="O38" s="24" t="n">
        <x:f>N38*(D38+E38)/60*L38</x:f>
        <x:v>0</x:v>
      </x:c>
      <x:c r="P38" t="str">
        <x:f>IF(A38="","",IF('Volume Validation'!J38&lt;&gt;"Yes","HOLD - VOLUME UNVALIDATED",IF(C38&lt;5,"HOLD - LOW TIMING SAMPLE","PROVISIONAL RANKING READY")))</x:f>
      </x:c>
    </x:row>
    <x:row r="39">
      <x:c r="A39" t="n">
        <x:f>'Volume Validation'!A39</x:f>
        <x:v>0</x:v>
      </x:c>
      <x:c r="B39" t="n">
        <x:f>'Volume Validation'!B39</x:f>
        <x:v>0</x:v>
      </x:c>
      <x:c r="C39" t="n">
        <x:f>IF(A39="",0,COUNTIFS('TO Observations'!$X$2:$X$201,A39,'TO Observations'!$C$2:$C$201,B39,'TO Observations'!$AN$2:$AN$201,"Yes"))</x:f>
        <x:v>0</x:v>
      </x:c>
      <x:c r="D39" t="n">
        <x:f>IF(C39=0,0,SUMIFS('TO Observations'!$H$2:$H$201,'TO Observations'!$X$2:$X$201,A39,'TO Observations'!$C$2:$C$201,B39,'TO Observations'!$AN$2:$AN$201,"Yes")/C39)</x:f>
        <x:v>0</x:v>
      </x:c>
      <x:c r="E39" t="n">
        <x:f>IF(C39=0,0,SUMIFS('TO Observations'!$Q$2:$Q$201,'TO Observations'!$X$2:$X$201,A39,'TO Observations'!$C$2:$C$201,B39,'TO Observations'!$AN$2:$AN$201,"Yes")/C39)</x:f>
        <x:v>0</x:v>
      </x:c>
      <x:c r="F39" s="59" t="n">
        <x:f>IF(C39=0,0,COUNTIFS('TO Observations'!$X$2:$X$201,A39,'TO Observations'!$C$2:$C$201,B39,'TO Observations'!$O$2:$O$201,"Yes",'TO Observations'!$AN$2:$AN$201,"Yes")/C39)</x:f>
        <x:v>0</x:v>
      </x:c>
      <x:c r="G39" s="59" t="n">
        <x:f>IF(C39=0,0,COUNTIFS('TO Observations'!$X$2:$X$201,A39,'TO Observations'!$C$2:$C$201,B39,'TO Observations'!$P$2:$P$201,"Yes",'TO Observations'!$AN$2:$AN$201,"Yes")/C39)</x:f>
        <x:v>0</x:v>
      </x:c>
      <x:c r="H39" t="n">
        <x:f>IF(C39=0,0,SUMIFS('TO Observations'!$K$2:$K$201,'TO Observations'!$X$2:$X$201,A39,'TO Observations'!$C$2:$C$201,B39,'TO Observations'!$AN$2:$AN$201,"Yes")/C39)</x:f>
        <x:v>0</x:v>
      </x:c>
      <x:c r="I39" t="n">
        <x:f>'Volume Validation'!D39</x:f>
        <x:v>0</x:v>
      </x:c>
      <x:c r="J39" t="n">
        <x:f>'Volume Validation'!E39</x:f>
        <x:v>0</x:v>
      </x:c>
      <x:c r="K39" t="n">
        <x:f>'Volume Validation'!F39</x:f>
        <x:v>220</x:v>
      </x:c>
      <x:c r="L39" s="40" t="n">
        <x:f>IFERROR(INDEX('Role Cost Assumptions'!$B$2:$B$10,MATCH(B39,'Role Cost Assumptions'!$A$2:$A$10,0)),25)</x:f>
        <x:v>25</x:v>
      </x:c>
      <x:c r="M39" t="n">
        <x:f>'Volume Validation'!G39</x:f>
        <x:v>0</x:v>
      </x:c>
      <x:c r="N39" t="n">
        <x:f>IF('Volume Validation'!J39="Yes",I39*J39*K39,0)</x:f>
        <x:v>0</x:v>
      </x:c>
      <x:c r="O39" s="24" t="n">
        <x:f>N39*(D39+E39)/60*L39</x:f>
        <x:v>0</x:v>
      </x:c>
      <x:c r="P39" t="str">
        <x:f>IF(A39="","",IF('Volume Validation'!J39&lt;&gt;"Yes","HOLD - VOLUME UNVALIDATED",IF(C39&lt;5,"HOLD - LOW TIMING SAMPLE","PROVISIONAL RANKING READY")))</x:f>
      </x:c>
    </x:row>
    <x:row r="40">
      <x:c r="A40" t="n">
        <x:f>'Volume Validation'!A40</x:f>
        <x:v>0</x:v>
      </x:c>
      <x:c r="B40" t="n">
        <x:f>'Volume Validation'!B40</x:f>
        <x:v>0</x:v>
      </x:c>
      <x:c r="C40" t="n">
        <x:f>IF(A40="",0,COUNTIFS('TO Observations'!$X$2:$X$201,A40,'TO Observations'!$C$2:$C$201,B40,'TO Observations'!$AN$2:$AN$201,"Yes"))</x:f>
        <x:v>0</x:v>
      </x:c>
      <x:c r="D40" t="n">
        <x:f>IF(C40=0,0,SUMIFS('TO Observations'!$H$2:$H$201,'TO Observations'!$X$2:$X$201,A40,'TO Observations'!$C$2:$C$201,B40,'TO Observations'!$AN$2:$AN$201,"Yes")/C40)</x:f>
        <x:v>0</x:v>
      </x:c>
      <x:c r="E40" t="n">
        <x:f>IF(C40=0,0,SUMIFS('TO Observations'!$Q$2:$Q$201,'TO Observations'!$X$2:$X$201,A40,'TO Observations'!$C$2:$C$201,B40,'TO Observations'!$AN$2:$AN$201,"Yes")/C40)</x:f>
        <x:v>0</x:v>
      </x:c>
      <x:c r="F40" s="59" t="n">
        <x:f>IF(C40=0,0,COUNTIFS('TO Observations'!$X$2:$X$201,A40,'TO Observations'!$C$2:$C$201,B40,'TO Observations'!$O$2:$O$201,"Yes",'TO Observations'!$AN$2:$AN$201,"Yes")/C40)</x:f>
        <x:v>0</x:v>
      </x:c>
      <x:c r="G40" s="59" t="n">
        <x:f>IF(C40=0,0,COUNTIFS('TO Observations'!$X$2:$X$201,A40,'TO Observations'!$C$2:$C$201,B40,'TO Observations'!$P$2:$P$201,"Yes",'TO Observations'!$AN$2:$AN$201,"Yes")/C40)</x:f>
        <x:v>0</x:v>
      </x:c>
      <x:c r="H40" t="n">
        <x:f>IF(C40=0,0,SUMIFS('TO Observations'!$K$2:$K$201,'TO Observations'!$X$2:$X$201,A40,'TO Observations'!$C$2:$C$201,B40,'TO Observations'!$AN$2:$AN$201,"Yes")/C40)</x:f>
        <x:v>0</x:v>
      </x:c>
      <x:c r="I40" t="n">
        <x:f>'Volume Validation'!D40</x:f>
        <x:v>0</x:v>
      </x:c>
      <x:c r="J40" t="n">
        <x:f>'Volume Validation'!E40</x:f>
        <x:v>0</x:v>
      </x:c>
      <x:c r="K40" t="n">
        <x:f>'Volume Validation'!F40</x:f>
        <x:v>220</x:v>
      </x:c>
      <x:c r="L40" s="40" t="n">
        <x:f>IFERROR(INDEX('Role Cost Assumptions'!$B$2:$B$10,MATCH(B40,'Role Cost Assumptions'!$A$2:$A$10,0)),25)</x:f>
        <x:v>25</x:v>
      </x:c>
      <x:c r="M40" t="n">
        <x:f>'Volume Validation'!G40</x:f>
        <x:v>0</x:v>
      </x:c>
      <x:c r="N40" t="n">
        <x:f>IF('Volume Validation'!J40="Yes",I40*J40*K40,0)</x:f>
        <x:v>0</x:v>
      </x:c>
      <x:c r="O40" s="24" t="n">
        <x:f>N40*(D40+E40)/60*L40</x:f>
        <x:v>0</x:v>
      </x:c>
      <x:c r="P40" t="str">
        <x:f>IF(A40="","",IF('Volume Validation'!J40&lt;&gt;"Yes","HOLD - VOLUME UNVALIDATED",IF(C40&lt;5,"HOLD - LOW TIMING SAMPLE","PROVISIONAL RANKING READY")))</x:f>
      </x:c>
    </x:row>
    <x:row r="41">
      <x:c r="A41" t="n">
        <x:f>'Volume Validation'!A41</x:f>
        <x:v>0</x:v>
      </x:c>
      <x:c r="B41" t="n">
        <x:f>'Volume Validation'!B41</x:f>
        <x:v>0</x:v>
      </x:c>
      <x:c r="C41" t="n">
        <x:f>IF(A41="",0,COUNTIFS('TO Observations'!$X$2:$X$201,A41,'TO Observations'!$C$2:$C$201,B41,'TO Observations'!$AN$2:$AN$201,"Yes"))</x:f>
        <x:v>0</x:v>
      </x:c>
      <x:c r="D41" t="n">
        <x:f>IF(C41=0,0,SUMIFS('TO Observations'!$H$2:$H$201,'TO Observations'!$X$2:$X$201,A41,'TO Observations'!$C$2:$C$201,B41,'TO Observations'!$AN$2:$AN$201,"Yes")/C41)</x:f>
        <x:v>0</x:v>
      </x:c>
      <x:c r="E41" t="n">
        <x:f>IF(C41=0,0,SUMIFS('TO Observations'!$Q$2:$Q$201,'TO Observations'!$X$2:$X$201,A41,'TO Observations'!$C$2:$C$201,B41,'TO Observations'!$AN$2:$AN$201,"Yes")/C41)</x:f>
        <x:v>0</x:v>
      </x:c>
      <x:c r="F41" s="59" t="n">
        <x:f>IF(C41=0,0,COUNTIFS('TO Observations'!$X$2:$X$201,A41,'TO Observations'!$C$2:$C$201,B41,'TO Observations'!$O$2:$O$201,"Yes",'TO Observations'!$AN$2:$AN$201,"Yes")/C41)</x:f>
        <x:v>0</x:v>
      </x:c>
      <x:c r="G41" s="59" t="n">
        <x:f>IF(C41=0,0,COUNTIFS('TO Observations'!$X$2:$X$201,A41,'TO Observations'!$C$2:$C$201,B41,'TO Observations'!$P$2:$P$201,"Yes",'TO Observations'!$AN$2:$AN$201,"Yes")/C41)</x:f>
        <x:v>0</x:v>
      </x:c>
      <x:c r="H41" t="n">
        <x:f>IF(C41=0,0,SUMIFS('TO Observations'!$K$2:$K$201,'TO Observations'!$X$2:$X$201,A41,'TO Observations'!$C$2:$C$201,B41,'TO Observations'!$AN$2:$AN$201,"Yes")/C41)</x:f>
        <x:v>0</x:v>
      </x:c>
      <x:c r="I41" t="n">
        <x:f>'Volume Validation'!D41</x:f>
        <x:v>0</x:v>
      </x:c>
      <x:c r="J41" t="n">
        <x:f>'Volume Validation'!E41</x:f>
        <x:v>0</x:v>
      </x:c>
      <x:c r="K41" t="n">
        <x:f>'Volume Validation'!F41</x:f>
        <x:v>220</x:v>
      </x:c>
      <x:c r="L41" s="40" t="n">
        <x:f>IFERROR(INDEX('Role Cost Assumptions'!$B$2:$B$10,MATCH(B41,'Role Cost Assumptions'!$A$2:$A$10,0)),25)</x:f>
        <x:v>25</x:v>
      </x:c>
      <x:c r="M41" t="n">
        <x:f>'Volume Validation'!G41</x:f>
        <x:v>0</x:v>
      </x:c>
      <x:c r="N41" t="n">
        <x:f>IF('Volume Validation'!J41="Yes",I41*J41*K41,0)</x:f>
        <x:v>0</x:v>
      </x:c>
      <x:c r="O41" s="24" t="n">
        <x:f>N41*(D41+E41)/60*L41</x:f>
        <x:v>0</x:v>
      </x:c>
      <x:c r="P41" t="str">
        <x:f>IF(A41="","",IF('Volume Validation'!J41&lt;&gt;"Yes","HOLD - VOLUME UNVALIDATED",IF(C41&lt;5,"HOLD - LOW TIMING SAMPLE","PROVISIONAL RANKING READY")))</x:f>
      </x:c>
    </x:row>
    <x:row r="42">
      <x:c r="A42" t="n">
        <x:f>'Volume Validation'!A42</x:f>
        <x:v>0</x:v>
      </x:c>
      <x:c r="B42" t="n">
        <x:f>'Volume Validation'!B42</x:f>
        <x:v>0</x:v>
      </x:c>
      <x:c r="C42" t="n">
        <x:f>IF(A42="",0,COUNTIFS('TO Observations'!$X$2:$X$201,A42,'TO Observations'!$C$2:$C$201,B42,'TO Observations'!$AN$2:$AN$201,"Yes"))</x:f>
        <x:v>0</x:v>
      </x:c>
      <x:c r="D42" t="n">
        <x:f>IF(C42=0,0,SUMIFS('TO Observations'!$H$2:$H$201,'TO Observations'!$X$2:$X$201,A42,'TO Observations'!$C$2:$C$201,B42,'TO Observations'!$AN$2:$AN$201,"Yes")/C42)</x:f>
        <x:v>0</x:v>
      </x:c>
      <x:c r="E42" t="n">
        <x:f>IF(C42=0,0,SUMIFS('TO Observations'!$Q$2:$Q$201,'TO Observations'!$X$2:$X$201,A42,'TO Observations'!$C$2:$C$201,B42,'TO Observations'!$AN$2:$AN$201,"Yes")/C42)</x:f>
        <x:v>0</x:v>
      </x:c>
      <x:c r="F42" s="59" t="n">
        <x:f>IF(C42=0,0,COUNTIFS('TO Observations'!$X$2:$X$201,A42,'TO Observations'!$C$2:$C$201,B42,'TO Observations'!$O$2:$O$201,"Yes",'TO Observations'!$AN$2:$AN$201,"Yes")/C42)</x:f>
        <x:v>0</x:v>
      </x:c>
      <x:c r="G42" s="59" t="n">
        <x:f>IF(C42=0,0,COUNTIFS('TO Observations'!$X$2:$X$201,A42,'TO Observations'!$C$2:$C$201,B42,'TO Observations'!$P$2:$P$201,"Yes",'TO Observations'!$AN$2:$AN$201,"Yes")/C42)</x:f>
        <x:v>0</x:v>
      </x:c>
      <x:c r="H42" t="n">
        <x:f>IF(C42=0,0,SUMIFS('TO Observations'!$K$2:$K$201,'TO Observations'!$X$2:$X$201,A42,'TO Observations'!$C$2:$C$201,B42,'TO Observations'!$AN$2:$AN$201,"Yes")/C42)</x:f>
        <x:v>0</x:v>
      </x:c>
      <x:c r="I42" t="n">
        <x:f>'Volume Validation'!D42</x:f>
        <x:v>0</x:v>
      </x:c>
      <x:c r="J42" t="n">
        <x:f>'Volume Validation'!E42</x:f>
        <x:v>0</x:v>
      </x:c>
      <x:c r="K42" t="n">
        <x:f>'Volume Validation'!F42</x:f>
        <x:v>220</x:v>
      </x:c>
      <x:c r="L42" s="40" t="n">
        <x:f>IFERROR(INDEX('Role Cost Assumptions'!$B$2:$B$10,MATCH(B42,'Role Cost Assumptions'!$A$2:$A$10,0)),25)</x:f>
        <x:v>25</x:v>
      </x:c>
      <x:c r="M42" t="n">
        <x:f>'Volume Validation'!G42</x:f>
        <x:v>0</x:v>
      </x:c>
      <x:c r="N42" t="n">
        <x:f>IF('Volume Validation'!J42="Yes",I42*J42*K42,0)</x:f>
        <x:v>0</x:v>
      </x:c>
      <x:c r="O42" s="24" t="n">
        <x:f>N42*(D42+E42)/60*L42</x:f>
        <x:v>0</x:v>
      </x:c>
      <x:c r="P42" t="str">
        <x:f>IF(A42="","",IF('Volume Validation'!J42&lt;&gt;"Yes","HOLD - VOLUME UNVALIDATED",IF(C42&lt;5,"HOLD - LOW TIMING SAMPLE","PROVISIONAL RANKING READY")))</x:f>
      </x:c>
    </x:row>
    <x:row r="43">
      <x:c r="A43" t="n">
        <x:f>'Volume Validation'!A43</x:f>
        <x:v>0</x:v>
      </x:c>
      <x:c r="B43" t="n">
        <x:f>'Volume Validation'!B43</x:f>
        <x:v>0</x:v>
      </x:c>
      <x:c r="C43" t="n">
        <x:f>IF(A43="",0,COUNTIFS('TO Observations'!$X$2:$X$201,A43,'TO Observations'!$C$2:$C$201,B43,'TO Observations'!$AN$2:$AN$201,"Yes"))</x:f>
        <x:v>0</x:v>
      </x:c>
      <x:c r="D43" t="n">
        <x:f>IF(C43=0,0,SUMIFS('TO Observations'!$H$2:$H$201,'TO Observations'!$X$2:$X$201,A43,'TO Observations'!$C$2:$C$201,B43,'TO Observations'!$AN$2:$AN$201,"Yes")/C43)</x:f>
        <x:v>0</x:v>
      </x:c>
      <x:c r="E43" t="n">
        <x:f>IF(C43=0,0,SUMIFS('TO Observations'!$Q$2:$Q$201,'TO Observations'!$X$2:$X$201,A43,'TO Observations'!$C$2:$C$201,B43,'TO Observations'!$AN$2:$AN$201,"Yes")/C43)</x:f>
        <x:v>0</x:v>
      </x:c>
      <x:c r="F43" s="59" t="n">
        <x:f>IF(C43=0,0,COUNTIFS('TO Observations'!$X$2:$X$201,A43,'TO Observations'!$C$2:$C$201,B43,'TO Observations'!$O$2:$O$201,"Yes",'TO Observations'!$AN$2:$AN$201,"Yes")/C43)</x:f>
        <x:v>0</x:v>
      </x:c>
      <x:c r="G43" s="59" t="n">
        <x:f>IF(C43=0,0,COUNTIFS('TO Observations'!$X$2:$X$201,A43,'TO Observations'!$C$2:$C$201,B43,'TO Observations'!$P$2:$P$201,"Yes",'TO Observations'!$AN$2:$AN$201,"Yes")/C43)</x:f>
        <x:v>0</x:v>
      </x:c>
      <x:c r="H43" t="n">
        <x:f>IF(C43=0,0,SUMIFS('TO Observations'!$K$2:$K$201,'TO Observations'!$X$2:$X$201,A43,'TO Observations'!$C$2:$C$201,B43,'TO Observations'!$AN$2:$AN$201,"Yes")/C43)</x:f>
        <x:v>0</x:v>
      </x:c>
      <x:c r="I43" t="n">
        <x:f>'Volume Validation'!D43</x:f>
        <x:v>0</x:v>
      </x:c>
      <x:c r="J43" t="n">
        <x:f>'Volume Validation'!E43</x:f>
        <x:v>0</x:v>
      </x:c>
      <x:c r="K43" t="n">
        <x:f>'Volume Validation'!F43</x:f>
        <x:v>220</x:v>
      </x:c>
      <x:c r="L43" s="40" t="n">
        <x:f>IFERROR(INDEX('Role Cost Assumptions'!$B$2:$B$10,MATCH(B43,'Role Cost Assumptions'!$A$2:$A$10,0)),25)</x:f>
        <x:v>25</x:v>
      </x:c>
      <x:c r="M43" t="n">
        <x:f>'Volume Validation'!G43</x:f>
        <x:v>0</x:v>
      </x:c>
      <x:c r="N43" t="n">
        <x:f>IF('Volume Validation'!J43="Yes",I43*J43*K43,0)</x:f>
        <x:v>0</x:v>
      </x:c>
      <x:c r="O43" s="24" t="n">
        <x:f>N43*(D43+E43)/60*L43</x:f>
        <x:v>0</x:v>
      </x:c>
      <x:c r="P43" t="str">
        <x:f>IF(A43="","",IF('Volume Validation'!J43&lt;&gt;"Yes","HOLD - VOLUME UNVALIDATED",IF(C43&lt;5,"HOLD - LOW TIMING SAMPLE","PROVISIONAL RANKING READY")))</x:f>
      </x:c>
    </x:row>
    <x:row r="44">
      <x:c r="A44" t="n">
        <x:f>'Volume Validation'!A44</x:f>
        <x:v>0</x:v>
      </x:c>
      <x:c r="B44" t="n">
        <x:f>'Volume Validation'!B44</x:f>
        <x:v>0</x:v>
      </x:c>
      <x:c r="C44" t="n">
        <x:f>IF(A44="",0,COUNTIFS('TO Observations'!$X$2:$X$201,A44,'TO Observations'!$C$2:$C$201,B44,'TO Observations'!$AN$2:$AN$201,"Yes"))</x:f>
        <x:v>0</x:v>
      </x:c>
      <x:c r="D44" t="n">
        <x:f>IF(C44=0,0,SUMIFS('TO Observations'!$H$2:$H$201,'TO Observations'!$X$2:$X$201,A44,'TO Observations'!$C$2:$C$201,B44,'TO Observations'!$AN$2:$AN$201,"Yes")/C44)</x:f>
        <x:v>0</x:v>
      </x:c>
      <x:c r="E44" t="n">
        <x:f>IF(C44=0,0,SUMIFS('TO Observations'!$Q$2:$Q$201,'TO Observations'!$X$2:$X$201,A44,'TO Observations'!$C$2:$C$201,B44,'TO Observations'!$AN$2:$AN$201,"Yes")/C44)</x:f>
        <x:v>0</x:v>
      </x:c>
      <x:c r="F44" s="59" t="n">
        <x:f>IF(C44=0,0,COUNTIFS('TO Observations'!$X$2:$X$201,A44,'TO Observations'!$C$2:$C$201,B44,'TO Observations'!$O$2:$O$201,"Yes",'TO Observations'!$AN$2:$AN$201,"Yes")/C44)</x:f>
        <x:v>0</x:v>
      </x:c>
      <x:c r="G44" s="59" t="n">
        <x:f>IF(C44=0,0,COUNTIFS('TO Observations'!$X$2:$X$201,A44,'TO Observations'!$C$2:$C$201,B44,'TO Observations'!$P$2:$P$201,"Yes",'TO Observations'!$AN$2:$AN$201,"Yes")/C44)</x:f>
        <x:v>0</x:v>
      </x:c>
      <x:c r="H44" t="n">
        <x:f>IF(C44=0,0,SUMIFS('TO Observations'!$K$2:$K$201,'TO Observations'!$X$2:$X$201,A44,'TO Observations'!$C$2:$C$201,B44,'TO Observations'!$AN$2:$AN$201,"Yes")/C44)</x:f>
        <x:v>0</x:v>
      </x:c>
      <x:c r="I44" t="n">
        <x:f>'Volume Validation'!D44</x:f>
        <x:v>0</x:v>
      </x:c>
      <x:c r="J44" t="n">
        <x:f>'Volume Validation'!E44</x:f>
        <x:v>0</x:v>
      </x:c>
      <x:c r="K44" t="n">
        <x:f>'Volume Validation'!F44</x:f>
        <x:v>220</x:v>
      </x:c>
      <x:c r="L44" s="40" t="n">
        <x:f>IFERROR(INDEX('Role Cost Assumptions'!$B$2:$B$10,MATCH(B44,'Role Cost Assumptions'!$A$2:$A$10,0)),25)</x:f>
        <x:v>25</x:v>
      </x:c>
      <x:c r="M44" t="n">
        <x:f>'Volume Validation'!G44</x:f>
        <x:v>0</x:v>
      </x:c>
      <x:c r="N44" t="n">
        <x:f>IF('Volume Validation'!J44="Yes",I44*J44*K44,0)</x:f>
        <x:v>0</x:v>
      </x:c>
      <x:c r="O44" s="24" t="n">
        <x:f>N44*(D44+E44)/60*L44</x:f>
        <x:v>0</x:v>
      </x:c>
      <x:c r="P44" t="str">
        <x:f>IF(A44="","",IF('Volume Validation'!J44&lt;&gt;"Yes","HOLD - VOLUME UNVALIDATED",IF(C44&lt;5,"HOLD - LOW TIMING SAMPLE","PROVISIONAL RANKING READY")))</x:f>
      </x:c>
    </x:row>
    <x:row r="45">
      <x:c r="A45" t="n">
        <x:f>'Volume Validation'!A45</x:f>
        <x:v>0</x:v>
      </x:c>
      <x:c r="B45" t="n">
        <x:f>'Volume Validation'!B45</x:f>
        <x:v>0</x:v>
      </x:c>
      <x:c r="C45" t="n">
        <x:f>IF(A45="",0,COUNTIFS('TO Observations'!$X$2:$X$201,A45,'TO Observations'!$C$2:$C$201,B45,'TO Observations'!$AN$2:$AN$201,"Yes"))</x:f>
        <x:v>0</x:v>
      </x:c>
      <x:c r="D45" t="n">
        <x:f>IF(C45=0,0,SUMIFS('TO Observations'!$H$2:$H$201,'TO Observations'!$X$2:$X$201,A45,'TO Observations'!$C$2:$C$201,B45,'TO Observations'!$AN$2:$AN$201,"Yes")/C45)</x:f>
        <x:v>0</x:v>
      </x:c>
      <x:c r="E45" t="n">
        <x:f>IF(C45=0,0,SUMIFS('TO Observations'!$Q$2:$Q$201,'TO Observations'!$X$2:$X$201,A45,'TO Observations'!$C$2:$C$201,B45,'TO Observations'!$AN$2:$AN$201,"Yes")/C45)</x:f>
        <x:v>0</x:v>
      </x:c>
      <x:c r="F45" s="59" t="n">
        <x:f>IF(C45=0,0,COUNTIFS('TO Observations'!$X$2:$X$201,A45,'TO Observations'!$C$2:$C$201,B45,'TO Observations'!$O$2:$O$201,"Yes",'TO Observations'!$AN$2:$AN$201,"Yes")/C45)</x:f>
        <x:v>0</x:v>
      </x:c>
      <x:c r="G45" s="59" t="n">
        <x:f>IF(C45=0,0,COUNTIFS('TO Observations'!$X$2:$X$201,A45,'TO Observations'!$C$2:$C$201,B45,'TO Observations'!$P$2:$P$201,"Yes",'TO Observations'!$AN$2:$AN$201,"Yes")/C45)</x:f>
        <x:v>0</x:v>
      </x:c>
      <x:c r="H45" t="n">
        <x:f>IF(C45=0,0,SUMIFS('TO Observations'!$K$2:$K$201,'TO Observations'!$X$2:$X$201,A45,'TO Observations'!$C$2:$C$201,B45,'TO Observations'!$AN$2:$AN$201,"Yes")/C45)</x:f>
        <x:v>0</x:v>
      </x:c>
      <x:c r="I45" t="n">
        <x:f>'Volume Validation'!D45</x:f>
        <x:v>0</x:v>
      </x:c>
      <x:c r="J45" t="n">
        <x:f>'Volume Validation'!E45</x:f>
        <x:v>0</x:v>
      </x:c>
      <x:c r="K45" t="n">
        <x:f>'Volume Validation'!F45</x:f>
        <x:v>220</x:v>
      </x:c>
      <x:c r="L45" s="40" t="n">
        <x:f>IFERROR(INDEX('Role Cost Assumptions'!$B$2:$B$10,MATCH(B45,'Role Cost Assumptions'!$A$2:$A$10,0)),25)</x:f>
        <x:v>25</x:v>
      </x:c>
      <x:c r="M45" t="n">
        <x:f>'Volume Validation'!G45</x:f>
        <x:v>0</x:v>
      </x:c>
      <x:c r="N45" t="n">
        <x:f>IF('Volume Validation'!J45="Yes",I45*J45*K45,0)</x:f>
        <x:v>0</x:v>
      </x:c>
      <x:c r="O45" s="24" t="n">
        <x:f>N45*(D45+E45)/60*L45</x:f>
        <x:v>0</x:v>
      </x:c>
      <x:c r="P45" t="str">
        <x:f>IF(A45="","",IF('Volume Validation'!J45&lt;&gt;"Yes","HOLD - VOLUME UNVALIDATED",IF(C45&lt;5,"HOLD - LOW TIMING SAMPLE","PROVISIONAL RANKING READY")))</x:f>
      </x:c>
    </x:row>
    <x:row r="46">
      <x:c r="A46" t="n">
        <x:f>'Volume Validation'!A46</x:f>
        <x:v>0</x:v>
      </x:c>
      <x:c r="B46" t="n">
        <x:f>'Volume Validation'!B46</x:f>
        <x:v>0</x:v>
      </x:c>
      <x:c r="C46" t="n">
        <x:f>IF(A46="",0,COUNTIFS('TO Observations'!$X$2:$X$201,A46,'TO Observations'!$C$2:$C$201,B46,'TO Observations'!$AN$2:$AN$201,"Yes"))</x:f>
        <x:v>0</x:v>
      </x:c>
      <x:c r="D46" t="n">
        <x:f>IF(C46=0,0,SUMIFS('TO Observations'!$H$2:$H$201,'TO Observations'!$X$2:$X$201,A46,'TO Observations'!$C$2:$C$201,B46,'TO Observations'!$AN$2:$AN$201,"Yes")/C46)</x:f>
        <x:v>0</x:v>
      </x:c>
      <x:c r="E46" t="n">
        <x:f>IF(C46=0,0,SUMIFS('TO Observations'!$Q$2:$Q$201,'TO Observations'!$X$2:$X$201,A46,'TO Observations'!$C$2:$C$201,B46,'TO Observations'!$AN$2:$AN$201,"Yes")/C46)</x:f>
        <x:v>0</x:v>
      </x:c>
      <x:c r="F46" s="59" t="n">
        <x:f>IF(C46=0,0,COUNTIFS('TO Observations'!$X$2:$X$201,A46,'TO Observations'!$C$2:$C$201,B46,'TO Observations'!$O$2:$O$201,"Yes",'TO Observations'!$AN$2:$AN$201,"Yes")/C46)</x:f>
        <x:v>0</x:v>
      </x:c>
      <x:c r="G46" s="59" t="n">
        <x:f>IF(C46=0,0,COUNTIFS('TO Observations'!$X$2:$X$201,A46,'TO Observations'!$C$2:$C$201,B46,'TO Observations'!$P$2:$P$201,"Yes",'TO Observations'!$AN$2:$AN$201,"Yes")/C46)</x:f>
        <x:v>0</x:v>
      </x:c>
      <x:c r="H46" t="n">
        <x:f>IF(C46=0,0,SUMIFS('TO Observations'!$K$2:$K$201,'TO Observations'!$X$2:$X$201,A46,'TO Observations'!$C$2:$C$201,B46,'TO Observations'!$AN$2:$AN$201,"Yes")/C46)</x:f>
        <x:v>0</x:v>
      </x:c>
      <x:c r="I46" t="n">
        <x:f>'Volume Validation'!D46</x:f>
        <x:v>0</x:v>
      </x:c>
      <x:c r="J46" t="n">
        <x:f>'Volume Validation'!E46</x:f>
        <x:v>0</x:v>
      </x:c>
      <x:c r="K46" t="n">
        <x:f>'Volume Validation'!F46</x:f>
        <x:v>220</x:v>
      </x:c>
      <x:c r="L46" s="40" t="n">
        <x:f>IFERROR(INDEX('Role Cost Assumptions'!$B$2:$B$10,MATCH(B46,'Role Cost Assumptions'!$A$2:$A$10,0)),25)</x:f>
        <x:v>25</x:v>
      </x:c>
      <x:c r="M46" t="n">
        <x:f>'Volume Validation'!G46</x:f>
        <x:v>0</x:v>
      </x:c>
      <x:c r="N46" t="n">
        <x:f>IF('Volume Validation'!J46="Yes",I46*J46*K46,0)</x:f>
        <x:v>0</x:v>
      </x:c>
      <x:c r="O46" s="24" t="n">
        <x:f>N46*(D46+E46)/60*L46</x:f>
        <x:v>0</x:v>
      </x:c>
      <x:c r="P46" t="str">
        <x:f>IF(A46="","",IF('Volume Validation'!J46&lt;&gt;"Yes","HOLD - VOLUME UNVALIDATED",IF(C46&lt;5,"HOLD - LOW TIMING SAMPLE","PROVISIONAL RANKING READY")))</x:f>
      </x:c>
    </x:row>
    <x:row r="47">
      <x:c r="A47" t="n">
        <x:f>'Volume Validation'!A47</x:f>
        <x:v>0</x:v>
      </x:c>
      <x:c r="B47" t="n">
        <x:f>'Volume Validation'!B47</x:f>
        <x:v>0</x:v>
      </x:c>
      <x:c r="C47" t="n">
        <x:f>IF(A47="",0,COUNTIFS('TO Observations'!$X$2:$X$201,A47,'TO Observations'!$C$2:$C$201,B47,'TO Observations'!$AN$2:$AN$201,"Yes"))</x:f>
        <x:v>0</x:v>
      </x:c>
      <x:c r="D47" t="n">
        <x:f>IF(C47=0,0,SUMIFS('TO Observations'!$H$2:$H$201,'TO Observations'!$X$2:$X$201,A47,'TO Observations'!$C$2:$C$201,B47,'TO Observations'!$AN$2:$AN$201,"Yes")/C47)</x:f>
        <x:v>0</x:v>
      </x:c>
      <x:c r="E47" t="n">
        <x:f>IF(C47=0,0,SUMIFS('TO Observations'!$Q$2:$Q$201,'TO Observations'!$X$2:$X$201,A47,'TO Observations'!$C$2:$C$201,B47,'TO Observations'!$AN$2:$AN$201,"Yes")/C47)</x:f>
        <x:v>0</x:v>
      </x:c>
      <x:c r="F47" s="59" t="n">
        <x:f>IF(C47=0,0,COUNTIFS('TO Observations'!$X$2:$X$201,A47,'TO Observations'!$C$2:$C$201,B47,'TO Observations'!$O$2:$O$201,"Yes",'TO Observations'!$AN$2:$AN$201,"Yes")/C47)</x:f>
        <x:v>0</x:v>
      </x:c>
      <x:c r="G47" s="59" t="n">
        <x:f>IF(C47=0,0,COUNTIFS('TO Observations'!$X$2:$X$201,A47,'TO Observations'!$C$2:$C$201,B47,'TO Observations'!$P$2:$P$201,"Yes",'TO Observations'!$AN$2:$AN$201,"Yes")/C47)</x:f>
        <x:v>0</x:v>
      </x:c>
      <x:c r="H47" t="n">
        <x:f>IF(C47=0,0,SUMIFS('TO Observations'!$K$2:$K$201,'TO Observations'!$X$2:$X$201,A47,'TO Observations'!$C$2:$C$201,B47,'TO Observations'!$AN$2:$AN$201,"Yes")/C47)</x:f>
        <x:v>0</x:v>
      </x:c>
      <x:c r="I47" t="n">
        <x:f>'Volume Validation'!D47</x:f>
        <x:v>0</x:v>
      </x:c>
      <x:c r="J47" t="n">
        <x:f>'Volume Validation'!E47</x:f>
        <x:v>0</x:v>
      </x:c>
      <x:c r="K47" t="n">
        <x:f>'Volume Validation'!F47</x:f>
        <x:v>220</x:v>
      </x:c>
      <x:c r="L47" s="40" t="n">
        <x:f>IFERROR(INDEX('Role Cost Assumptions'!$B$2:$B$10,MATCH(B47,'Role Cost Assumptions'!$A$2:$A$10,0)),25)</x:f>
        <x:v>25</x:v>
      </x:c>
      <x:c r="M47" t="n">
        <x:f>'Volume Validation'!G47</x:f>
        <x:v>0</x:v>
      </x:c>
      <x:c r="N47" t="n">
        <x:f>IF('Volume Validation'!J47="Yes",I47*J47*K47,0)</x:f>
        <x:v>0</x:v>
      </x:c>
      <x:c r="O47" s="24" t="n">
        <x:f>N47*(D47+E47)/60*L47</x:f>
        <x:v>0</x:v>
      </x:c>
      <x:c r="P47" t="str">
        <x:f>IF(A47="","",IF('Volume Validation'!J47&lt;&gt;"Yes","HOLD - VOLUME UNVALIDATED",IF(C47&lt;5,"HOLD - LOW TIMING SAMPLE","PROVISIONAL RANKING READY")))</x:f>
      </x:c>
    </x:row>
    <x:row r="48">
      <x:c r="A48" t="n">
        <x:f>'Volume Validation'!A48</x:f>
        <x:v>0</x:v>
      </x:c>
      <x:c r="B48" t="n">
        <x:f>'Volume Validation'!B48</x:f>
        <x:v>0</x:v>
      </x:c>
      <x:c r="C48" t="n">
        <x:f>IF(A48="",0,COUNTIFS('TO Observations'!$X$2:$X$201,A48,'TO Observations'!$C$2:$C$201,B48,'TO Observations'!$AN$2:$AN$201,"Yes"))</x:f>
        <x:v>0</x:v>
      </x:c>
      <x:c r="D48" t="n">
        <x:f>IF(C48=0,0,SUMIFS('TO Observations'!$H$2:$H$201,'TO Observations'!$X$2:$X$201,A48,'TO Observations'!$C$2:$C$201,B48,'TO Observations'!$AN$2:$AN$201,"Yes")/C48)</x:f>
        <x:v>0</x:v>
      </x:c>
      <x:c r="E48" t="n">
        <x:f>IF(C48=0,0,SUMIFS('TO Observations'!$Q$2:$Q$201,'TO Observations'!$X$2:$X$201,A48,'TO Observations'!$C$2:$C$201,B48,'TO Observations'!$AN$2:$AN$201,"Yes")/C48)</x:f>
        <x:v>0</x:v>
      </x:c>
      <x:c r="F48" s="59" t="n">
        <x:f>IF(C48=0,0,COUNTIFS('TO Observations'!$X$2:$X$201,A48,'TO Observations'!$C$2:$C$201,B48,'TO Observations'!$O$2:$O$201,"Yes",'TO Observations'!$AN$2:$AN$201,"Yes")/C48)</x:f>
        <x:v>0</x:v>
      </x:c>
      <x:c r="G48" s="59" t="n">
        <x:f>IF(C48=0,0,COUNTIFS('TO Observations'!$X$2:$X$201,A48,'TO Observations'!$C$2:$C$201,B48,'TO Observations'!$P$2:$P$201,"Yes",'TO Observations'!$AN$2:$AN$201,"Yes")/C48)</x:f>
        <x:v>0</x:v>
      </x:c>
      <x:c r="H48" t="n">
        <x:f>IF(C48=0,0,SUMIFS('TO Observations'!$K$2:$K$201,'TO Observations'!$X$2:$X$201,A48,'TO Observations'!$C$2:$C$201,B48,'TO Observations'!$AN$2:$AN$201,"Yes")/C48)</x:f>
        <x:v>0</x:v>
      </x:c>
      <x:c r="I48" t="n">
        <x:f>'Volume Validation'!D48</x:f>
        <x:v>0</x:v>
      </x:c>
      <x:c r="J48" t="n">
        <x:f>'Volume Validation'!E48</x:f>
        <x:v>0</x:v>
      </x:c>
      <x:c r="K48" t="n">
        <x:f>'Volume Validation'!F48</x:f>
        <x:v>220</x:v>
      </x:c>
      <x:c r="L48" s="40" t="n">
        <x:f>IFERROR(INDEX('Role Cost Assumptions'!$B$2:$B$10,MATCH(B48,'Role Cost Assumptions'!$A$2:$A$10,0)),25)</x:f>
        <x:v>25</x:v>
      </x:c>
      <x:c r="M48" t="n">
        <x:f>'Volume Validation'!G48</x:f>
        <x:v>0</x:v>
      </x:c>
      <x:c r="N48" t="n">
        <x:f>IF('Volume Validation'!J48="Yes",I48*J48*K48,0)</x:f>
        <x:v>0</x:v>
      </x:c>
      <x:c r="O48" s="24" t="n">
        <x:f>N48*(D48+E48)/60*L48</x:f>
        <x:v>0</x:v>
      </x:c>
      <x:c r="P48" t="str">
        <x:f>IF(A48="","",IF('Volume Validation'!J48&lt;&gt;"Yes","HOLD - VOLUME UNVALIDATED",IF(C48&lt;5,"HOLD - LOW TIMING SAMPLE","PROVISIONAL RANKING READY")))</x:f>
      </x:c>
    </x:row>
    <x:row r="49">
      <x:c r="A49" t="n">
        <x:f>'Volume Validation'!A49</x:f>
        <x:v>0</x:v>
      </x:c>
      <x:c r="B49" t="n">
        <x:f>'Volume Validation'!B49</x:f>
        <x:v>0</x:v>
      </x:c>
      <x:c r="C49" t="n">
        <x:f>IF(A49="",0,COUNTIFS('TO Observations'!$X$2:$X$201,A49,'TO Observations'!$C$2:$C$201,B49,'TO Observations'!$AN$2:$AN$201,"Yes"))</x:f>
        <x:v>0</x:v>
      </x:c>
      <x:c r="D49" t="n">
        <x:f>IF(C49=0,0,SUMIFS('TO Observations'!$H$2:$H$201,'TO Observations'!$X$2:$X$201,A49,'TO Observations'!$C$2:$C$201,B49,'TO Observations'!$AN$2:$AN$201,"Yes")/C49)</x:f>
        <x:v>0</x:v>
      </x:c>
      <x:c r="E49" t="n">
        <x:f>IF(C49=0,0,SUMIFS('TO Observations'!$Q$2:$Q$201,'TO Observations'!$X$2:$X$201,A49,'TO Observations'!$C$2:$C$201,B49,'TO Observations'!$AN$2:$AN$201,"Yes")/C49)</x:f>
        <x:v>0</x:v>
      </x:c>
      <x:c r="F49" s="59" t="n">
        <x:f>IF(C49=0,0,COUNTIFS('TO Observations'!$X$2:$X$201,A49,'TO Observations'!$C$2:$C$201,B49,'TO Observations'!$O$2:$O$201,"Yes",'TO Observations'!$AN$2:$AN$201,"Yes")/C49)</x:f>
        <x:v>0</x:v>
      </x:c>
      <x:c r="G49" s="59" t="n">
        <x:f>IF(C49=0,0,COUNTIFS('TO Observations'!$X$2:$X$201,A49,'TO Observations'!$C$2:$C$201,B49,'TO Observations'!$P$2:$P$201,"Yes",'TO Observations'!$AN$2:$AN$201,"Yes")/C49)</x:f>
        <x:v>0</x:v>
      </x:c>
      <x:c r="H49" t="n">
        <x:f>IF(C49=0,0,SUMIFS('TO Observations'!$K$2:$K$201,'TO Observations'!$X$2:$X$201,A49,'TO Observations'!$C$2:$C$201,B49,'TO Observations'!$AN$2:$AN$201,"Yes")/C49)</x:f>
        <x:v>0</x:v>
      </x:c>
      <x:c r="I49" t="n">
        <x:f>'Volume Validation'!D49</x:f>
        <x:v>0</x:v>
      </x:c>
      <x:c r="J49" t="n">
        <x:f>'Volume Validation'!E49</x:f>
        <x:v>0</x:v>
      </x:c>
      <x:c r="K49" t="n">
        <x:f>'Volume Validation'!F49</x:f>
        <x:v>220</x:v>
      </x:c>
      <x:c r="L49" s="40" t="n">
        <x:f>IFERROR(INDEX('Role Cost Assumptions'!$B$2:$B$10,MATCH(B49,'Role Cost Assumptions'!$A$2:$A$10,0)),25)</x:f>
        <x:v>25</x:v>
      </x:c>
      <x:c r="M49" t="n">
        <x:f>'Volume Validation'!G49</x:f>
        <x:v>0</x:v>
      </x:c>
      <x:c r="N49" t="n">
        <x:f>IF('Volume Validation'!J49="Yes",I49*J49*K49,0)</x:f>
        <x:v>0</x:v>
      </x:c>
      <x:c r="O49" s="24" t="n">
        <x:f>N49*(D49+E49)/60*L49</x:f>
        <x:v>0</x:v>
      </x:c>
      <x:c r="P49" t="str">
        <x:f>IF(A49="","",IF('Volume Validation'!J49&lt;&gt;"Yes","HOLD - VOLUME UNVALIDATED",IF(C49&lt;5,"HOLD - LOW TIMING SAMPLE","PROVISIONAL RANKING READY")))</x:f>
      </x:c>
    </x:row>
    <x:row r="50">
      <x:c r="A50" t="n">
        <x:f>'Volume Validation'!A50</x:f>
        <x:v>0</x:v>
      </x:c>
      <x:c r="B50" t="n">
        <x:f>'Volume Validation'!B50</x:f>
        <x:v>0</x:v>
      </x:c>
      <x:c r="C50" t="n">
        <x:f>IF(A50="",0,COUNTIFS('TO Observations'!$X$2:$X$201,A50,'TO Observations'!$C$2:$C$201,B50,'TO Observations'!$AN$2:$AN$201,"Yes"))</x:f>
        <x:v>0</x:v>
      </x:c>
      <x:c r="D50" t="n">
        <x:f>IF(C50=0,0,SUMIFS('TO Observations'!$H$2:$H$201,'TO Observations'!$X$2:$X$201,A50,'TO Observations'!$C$2:$C$201,B50,'TO Observations'!$AN$2:$AN$201,"Yes")/C50)</x:f>
        <x:v>0</x:v>
      </x:c>
      <x:c r="E50" t="n">
        <x:f>IF(C50=0,0,SUMIFS('TO Observations'!$Q$2:$Q$201,'TO Observations'!$X$2:$X$201,A50,'TO Observations'!$C$2:$C$201,B50,'TO Observations'!$AN$2:$AN$201,"Yes")/C50)</x:f>
        <x:v>0</x:v>
      </x:c>
      <x:c r="F50" s="59" t="n">
        <x:f>IF(C50=0,0,COUNTIFS('TO Observations'!$X$2:$X$201,A50,'TO Observations'!$C$2:$C$201,B50,'TO Observations'!$O$2:$O$201,"Yes",'TO Observations'!$AN$2:$AN$201,"Yes")/C50)</x:f>
        <x:v>0</x:v>
      </x:c>
      <x:c r="G50" s="59" t="n">
        <x:f>IF(C50=0,0,COUNTIFS('TO Observations'!$X$2:$X$201,A50,'TO Observations'!$C$2:$C$201,B50,'TO Observations'!$P$2:$P$201,"Yes",'TO Observations'!$AN$2:$AN$201,"Yes")/C50)</x:f>
        <x:v>0</x:v>
      </x:c>
      <x:c r="H50" t="n">
        <x:f>IF(C50=0,0,SUMIFS('TO Observations'!$K$2:$K$201,'TO Observations'!$X$2:$X$201,A50,'TO Observations'!$C$2:$C$201,B50,'TO Observations'!$AN$2:$AN$201,"Yes")/C50)</x:f>
        <x:v>0</x:v>
      </x:c>
      <x:c r="I50" t="n">
        <x:f>'Volume Validation'!D50</x:f>
        <x:v>0</x:v>
      </x:c>
      <x:c r="J50" t="n">
        <x:f>'Volume Validation'!E50</x:f>
        <x:v>0</x:v>
      </x:c>
      <x:c r="K50" t="n">
        <x:f>'Volume Validation'!F50</x:f>
        <x:v>220</x:v>
      </x:c>
      <x:c r="L50" s="40" t="n">
        <x:f>IFERROR(INDEX('Role Cost Assumptions'!$B$2:$B$10,MATCH(B50,'Role Cost Assumptions'!$A$2:$A$10,0)),25)</x:f>
        <x:v>25</x:v>
      </x:c>
      <x:c r="M50" t="n">
        <x:f>'Volume Validation'!G50</x:f>
        <x:v>0</x:v>
      </x:c>
      <x:c r="N50" t="n">
        <x:f>IF('Volume Validation'!J50="Yes",I50*J50*K50,0)</x:f>
        <x:v>0</x:v>
      </x:c>
      <x:c r="O50" s="24" t="n">
        <x:f>N50*(D50+E50)/60*L50</x:f>
        <x:v>0</x:v>
      </x:c>
      <x:c r="P50" t="str">
        <x:f>IF(A50="","",IF('Volume Validation'!J50&lt;&gt;"Yes","HOLD - VOLUME UNVALIDATED",IF(C50&lt;5,"HOLD - LOW TIMING SAMPLE","PROVISIONAL RANKING READY")))</x:f>
      </x:c>
    </x:row>
    <x:row r="51">
      <x:c r="A51" t="n">
        <x:f>'Volume Validation'!A51</x:f>
        <x:v>0</x:v>
      </x:c>
      <x:c r="B51" t="n">
        <x:f>'Volume Validation'!B51</x:f>
        <x:v>0</x:v>
      </x:c>
      <x:c r="C51" t="n">
        <x:f>IF(A51="",0,COUNTIFS('TO Observations'!$X$2:$X$201,A51,'TO Observations'!$C$2:$C$201,B51,'TO Observations'!$AN$2:$AN$201,"Yes"))</x:f>
        <x:v>0</x:v>
      </x:c>
      <x:c r="D51" t="n">
        <x:f>IF(C51=0,0,SUMIFS('TO Observations'!$H$2:$H$201,'TO Observations'!$X$2:$X$201,A51,'TO Observations'!$C$2:$C$201,B51,'TO Observations'!$AN$2:$AN$201,"Yes")/C51)</x:f>
        <x:v>0</x:v>
      </x:c>
      <x:c r="E51" t="n">
        <x:f>IF(C51=0,0,SUMIFS('TO Observations'!$Q$2:$Q$201,'TO Observations'!$X$2:$X$201,A51,'TO Observations'!$C$2:$C$201,B51,'TO Observations'!$AN$2:$AN$201,"Yes")/C51)</x:f>
        <x:v>0</x:v>
      </x:c>
      <x:c r="F51" s="59" t="n">
        <x:f>IF(C51=0,0,COUNTIFS('TO Observations'!$X$2:$X$201,A51,'TO Observations'!$C$2:$C$201,B51,'TO Observations'!$O$2:$O$201,"Yes",'TO Observations'!$AN$2:$AN$201,"Yes")/C51)</x:f>
        <x:v>0</x:v>
      </x:c>
      <x:c r="G51" s="59" t="n">
        <x:f>IF(C51=0,0,COUNTIFS('TO Observations'!$X$2:$X$201,A51,'TO Observations'!$C$2:$C$201,B51,'TO Observations'!$P$2:$P$201,"Yes",'TO Observations'!$AN$2:$AN$201,"Yes")/C51)</x:f>
        <x:v>0</x:v>
      </x:c>
      <x:c r="H51" t="n">
        <x:f>IF(C51=0,0,SUMIFS('TO Observations'!$K$2:$K$201,'TO Observations'!$X$2:$X$201,A51,'TO Observations'!$C$2:$C$201,B51,'TO Observations'!$AN$2:$AN$201,"Yes")/C51)</x:f>
        <x:v>0</x:v>
      </x:c>
      <x:c r="I51" t="n">
        <x:f>'Volume Validation'!D51</x:f>
        <x:v>0</x:v>
      </x:c>
      <x:c r="J51" t="n">
        <x:f>'Volume Validation'!E51</x:f>
        <x:v>0</x:v>
      </x:c>
      <x:c r="K51" t="n">
        <x:f>'Volume Validation'!F51</x:f>
        <x:v>220</x:v>
      </x:c>
      <x:c r="L51" s="40" t="n">
        <x:f>IFERROR(INDEX('Role Cost Assumptions'!$B$2:$B$10,MATCH(B51,'Role Cost Assumptions'!$A$2:$A$10,0)),25)</x:f>
        <x:v>25</x:v>
      </x:c>
      <x:c r="M51" t="n">
        <x:f>'Volume Validation'!G51</x:f>
        <x:v>0</x:v>
      </x:c>
      <x:c r="N51" t="n">
        <x:f>IF('Volume Validation'!J51="Yes",I51*J51*K51,0)</x:f>
        <x:v>0</x:v>
      </x:c>
      <x:c r="O51" s="24" t="n">
        <x:f>N51*(D51+E51)/60*L51</x:f>
        <x:v>0</x:v>
      </x:c>
      <x:c r="P51" t="str">
        <x:f>IF(A51="","",IF('Volume Validation'!J51&lt;&gt;"Yes","HOLD - VOLUME UNVALIDATED",IF(C51&lt;5,"HOLD - LOW TIMING SAMPLE","PROVISIONAL RANKING READY")))</x:f>
      </x:c>
    </x:row>
    <x:row r="52">
      <x:c r="A52" t="n">
        <x:f>'Volume Validation'!A52</x:f>
        <x:v>0</x:v>
      </x:c>
      <x:c r="B52" t="n">
        <x:f>'Volume Validation'!B52</x:f>
        <x:v>0</x:v>
      </x:c>
      <x:c r="C52" t="n">
        <x:f>IF(A52="",0,COUNTIFS('TO Observations'!$X$2:$X$201,A52,'TO Observations'!$C$2:$C$201,B52,'TO Observations'!$AN$2:$AN$201,"Yes"))</x:f>
        <x:v>0</x:v>
      </x:c>
      <x:c r="D52" t="n">
        <x:f>IF(C52=0,0,SUMIFS('TO Observations'!$H$2:$H$201,'TO Observations'!$X$2:$X$201,A52,'TO Observations'!$C$2:$C$201,B52,'TO Observations'!$AN$2:$AN$201,"Yes")/C52)</x:f>
        <x:v>0</x:v>
      </x:c>
      <x:c r="E52" t="n">
        <x:f>IF(C52=0,0,SUMIFS('TO Observations'!$Q$2:$Q$201,'TO Observations'!$X$2:$X$201,A52,'TO Observations'!$C$2:$C$201,B52,'TO Observations'!$AN$2:$AN$201,"Yes")/C52)</x:f>
        <x:v>0</x:v>
      </x:c>
      <x:c r="F52" s="59" t="n">
        <x:f>IF(C52=0,0,COUNTIFS('TO Observations'!$X$2:$X$201,A52,'TO Observations'!$C$2:$C$201,B52,'TO Observations'!$O$2:$O$201,"Yes",'TO Observations'!$AN$2:$AN$201,"Yes")/C52)</x:f>
        <x:v>0</x:v>
      </x:c>
      <x:c r="G52" s="59" t="n">
        <x:f>IF(C52=0,0,COUNTIFS('TO Observations'!$X$2:$X$201,A52,'TO Observations'!$C$2:$C$201,B52,'TO Observations'!$P$2:$P$201,"Yes",'TO Observations'!$AN$2:$AN$201,"Yes")/C52)</x:f>
        <x:v>0</x:v>
      </x:c>
      <x:c r="H52" t="n">
        <x:f>IF(C52=0,0,SUMIFS('TO Observations'!$K$2:$K$201,'TO Observations'!$X$2:$X$201,A52,'TO Observations'!$C$2:$C$201,B52,'TO Observations'!$AN$2:$AN$201,"Yes")/C52)</x:f>
        <x:v>0</x:v>
      </x:c>
      <x:c r="I52" t="n">
        <x:f>'Volume Validation'!D52</x:f>
        <x:v>0</x:v>
      </x:c>
      <x:c r="J52" t="n">
        <x:f>'Volume Validation'!E52</x:f>
        <x:v>0</x:v>
      </x:c>
      <x:c r="K52" t="n">
        <x:f>'Volume Validation'!F52</x:f>
        <x:v>220</x:v>
      </x:c>
      <x:c r="L52" s="40" t="n">
        <x:f>IFERROR(INDEX('Role Cost Assumptions'!$B$2:$B$10,MATCH(B52,'Role Cost Assumptions'!$A$2:$A$10,0)),25)</x:f>
        <x:v>25</x:v>
      </x:c>
      <x:c r="M52" t="n">
        <x:f>'Volume Validation'!G52</x:f>
        <x:v>0</x:v>
      </x:c>
      <x:c r="N52" t="n">
        <x:f>IF('Volume Validation'!J52="Yes",I52*J52*K52,0)</x:f>
        <x:v>0</x:v>
      </x:c>
      <x:c r="O52" s="24" t="n">
        <x:f>N52*(D52+E52)/60*L52</x:f>
        <x:v>0</x:v>
      </x:c>
      <x:c r="P52" t="str">
        <x:f>IF(A52="","",IF('Volume Validation'!J52&lt;&gt;"Yes","HOLD - VOLUME UNVALIDATED",IF(C52&lt;5,"HOLD - LOW TIMING SAMPLE","PROVISIONAL RANKING READY")))</x:f>
      </x:c>
    </x:row>
    <x:row r="53">
      <x:c r="A53" t="n">
        <x:f>'Volume Validation'!A53</x:f>
        <x:v>0</x:v>
      </x:c>
      <x:c r="B53" t="n">
        <x:f>'Volume Validation'!B53</x:f>
        <x:v>0</x:v>
      </x:c>
      <x:c r="C53" t="n">
        <x:f>IF(A53="",0,COUNTIFS('TO Observations'!$X$2:$X$201,A53,'TO Observations'!$C$2:$C$201,B53,'TO Observations'!$AN$2:$AN$201,"Yes"))</x:f>
        <x:v>0</x:v>
      </x:c>
      <x:c r="D53" t="n">
        <x:f>IF(C53=0,0,SUMIFS('TO Observations'!$H$2:$H$201,'TO Observations'!$X$2:$X$201,A53,'TO Observations'!$C$2:$C$201,B53,'TO Observations'!$AN$2:$AN$201,"Yes")/C53)</x:f>
        <x:v>0</x:v>
      </x:c>
      <x:c r="E53" t="n">
        <x:f>IF(C53=0,0,SUMIFS('TO Observations'!$Q$2:$Q$201,'TO Observations'!$X$2:$X$201,A53,'TO Observations'!$C$2:$C$201,B53,'TO Observations'!$AN$2:$AN$201,"Yes")/C53)</x:f>
        <x:v>0</x:v>
      </x:c>
      <x:c r="F53" s="59" t="n">
        <x:f>IF(C53=0,0,COUNTIFS('TO Observations'!$X$2:$X$201,A53,'TO Observations'!$C$2:$C$201,B53,'TO Observations'!$O$2:$O$201,"Yes",'TO Observations'!$AN$2:$AN$201,"Yes")/C53)</x:f>
        <x:v>0</x:v>
      </x:c>
      <x:c r="G53" s="59" t="n">
        <x:f>IF(C53=0,0,COUNTIFS('TO Observations'!$X$2:$X$201,A53,'TO Observations'!$C$2:$C$201,B53,'TO Observations'!$P$2:$P$201,"Yes",'TO Observations'!$AN$2:$AN$201,"Yes")/C53)</x:f>
        <x:v>0</x:v>
      </x:c>
      <x:c r="H53" t="n">
        <x:f>IF(C53=0,0,SUMIFS('TO Observations'!$K$2:$K$201,'TO Observations'!$X$2:$X$201,A53,'TO Observations'!$C$2:$C$201,B53,'TO Observations'!$AN$2:$AN$201,"Yes")/C53)</x:f>
        <x:v>0</x:v>
      </x:c>
      <x:c r="I53" t="n">
        <x:f>'Volume Validation'!D53</x:f>
        <x:v>0</x:v>
      </x:c>
      <x:c r="J53" t="n">
        <x:f>'Volume Validation'!E53</x:f>
        <x:v>0</x:v>
      </x:c>
      <x:c r="K53" t="n">
        <x:f>'Volume Validation'!F53</x:f>
        <x:v>220</x:v>
      </x:c>
      <x:c r="L53" s="40" t="n">
        <x:f>IFERROR(INDEX('Role Cost Assumptions'!$B$2:$B$10,MATCH(B53,'Role Cost Assumptions'!$A$2:$A$10,0)),25)</x:f>
        <x:v>25</x:v>
      </x:c>
      <x:c r="M53" t="n">
        <x:f>'Volume Validation'!G53</x:f>
        <x:v>0</x:v>
      </x:c>
      <x:c r="N53" t="n">
        <x:f>IF('Volume Validation'!J53="Yes",I53*J53*K53,0)</x:f>
        <x:v>0</x:v>
      </x:c>
      <x:c r="O53" s="24" t="n">
        <x:f>N53*(D53+E53)/60*L53</x:f>
        <x:v>0</x:v>
      </x:c>
      <x:c r="P53" t="str">
        <x:f>IF(A53="","",IF('Volume Validation'!J53&lt;&gt;"Yes","HOLD - VOLUME UNVALIDATED",IF(C53&lt;5,"HOLD - LOW TIMING SAMPLE","PROVISIONAL RANKING READY")))</x:f>
      </x:c>
    </x:row>
    <x:row r="54">
      <x:c r="A54" t="n">
        <x:f>'Volume Validation'!A54</x:f>
        <x:v>0</x:v>
      </x:c>
      <x:c r="B54" t="n">
        <x:f>'Volume Validation'!B54</x:f>
        <x:v>0</x:v>
      </x:c>
      <x:c r="C54" t="n">
        <x:f>IF(A54="",0,COUNTIFS('TO Observations'!$X$2:$X$201,A54,'TO Observations'!$C$2:$C$201,B54,'TO Observations'!$AN$2:$AN$201,"Yes"))</x:f>
        <x:v>0</x:v>
      </x:c>
      <x:c r="D54" t="n">
        <x:f>IF(C54=0,0,SUMIFS('TO Observations'!$H$2:$H$201,'TO Observations'!$X$2:$X$201,A54,'TO Observations'!$C$2:$C$201,B54,'TO Observations'!$AN$2:$AN$201,"Yes")/C54)</x:f>
        <x:v>0</x:v>
      </x:c>
      <x:c r="E54" t="n">
        <x:f>IF(C54=0,0,SUMIFS('TO Observations'!$Q$2:$Q$201,'TO Observations'!$X$2:$X$201,A54,'TO Observations'!$C$2:$C$201,B54,'TO Observations'!$AN$2:$AN$201,"Yes")/C54)</x:f>
        <x:v>0</x:v>
      </x:c>
      <x:c r="F54" s="59" t="n">
        <x:f>IF(C54=0,0,COUNTIFS('TO Observations'!$X$2:$X$201,A54,'TO Observations'!$C$2:$C$201,B54,'TO Observations'!$O$2:$O$201,"Yes",'TO Observations'!$AN$2:$AN$201,"Yes")/C54)</x:f>
        <x:v>0</x:v>
      </x:c>
      <x:c r="G54" s="59" t="n">
        <x:f>IF(C54=0,0,COUNTIFS('TO Observations'!$X$2:$X$201,A54,'TO Observations'!$C$2:$C$201,B54,'TO Observations'!$P$2:$P$201,"Yes",'TO Observations'!$AN$2:$AN$201,"Yes")/C54)</x:f>
        <x:v>0</x:v>
      </x:c>
      <x:c r="H54" t="n">
        <x:f>IF(C54=0,0,SUMIFS('TO Observations'!$K$2:$K$201,'TO Observations'!$X$2:$X$201,A54,'TO Observations'!$C$2:$C$201,B54,'TO Observations'!$AN$2:$AN$201,"Yes")/C54)</x:f>
        <x:v>0</x:v>
      </x:c>
      <x:c r="I54" t="n">
        <x:f>'Volume Validation'!D54</x:f>
        <x:v>0</x:v>
      </x:c>
      <x:c r="J54" t="n">
        <x:f>'Volume Validation'!E54</x:f>
        <x:v>0</x:v>
      </x:c>
      <x:c r="K54" t="n">
        <x:f>'Volume Validation'!F54</x:f>
        <x:v>220</x:v>
      </x:c>
      <x:c r="L54" s="40" t="n">
        <x:f>IFERROR(INDEX('Role Cost Assumptions'!$B$2:$B$10,MATCH(B54,'Role Cost Assumptions'!$A$2:$A$10,0)),25)</x:f>
        <x:v>25</x:v>
      </x:c>
      <x:c r="M54" t="n">
        <x:f>'Volume Validation'!G54</x:f>
        <x:v>0</x:v>
      </x:c>
      <x:c r="N54" t="n">
        <x:f>IF('Volume Validation'!J54="Yes",I54*J54*K54,0)</x:f>
        <x:v>0</x:v>
      </x:c>
      <x:c r="O54" s="24" t="n">
        <x:f>N54*(D54+E54)/60*L54</x:f>
        <x:v>0</x:v>
      </x:c>
      <x:c r="P54" t="str">
        <x:f>IF(A54="","",IF('Volume Validation'!J54&lt;&gt;"Yes","HOLD - VOLUME UNVALIDATED",IF(C54&lt;5,"HOLD - LOW TIMING SAMPLE","PROVISIONAL RANKING READY")))</x:f>
      </x:c>
    </x:row>
    <x:row r="55">
      <x:c r="A55" t="n">
        <x:f>'Volume Validation'!A55</x:f>
        <x:v>0</x:v>
      </x:c>
      <x:c r="B55" t="n">
        <x:f>'Volume Validation'!B55</x:f>
        <x:v>0</x:v>
      </x:c>
      <x:c r="C55" t="n">
        <x:f>IF(A55="",0,COUNTIFS('TO Observations'!$X$2:$X$201,A55,'TO Observations'!$C$2:$C$201,B55,'TO Observations'!$AN$2:$AN$201,"Yes"))</x:f>
        <x:v>0</x:v>
      </x:c>
      <x:c r="D55" t="n">
        <x:f>IF(C55=0,0,SUMIFS('TO Observations'!$H$2:$H$201,'TO Observations'!$X$2:$X$201,A55,'TO Observations'!$C$2:$C$201,B55,'TO Observations'!$AN$2:$AN$201,"Yes")/C55)</x:f>
        <x:v>0</x:v>
      </x:c>
      <x:c r="E55" t="n">
        <x:f>IF(C55=0,0,SUMIFS('TO Observations'!$Q$2:$Q$201,'TO Observations'!$X$2:$X$201,A55,'TO Observations'!$C$2:$C$201,B55,'TO Observations'!$AN$2:$AN$201,"Yes")/C55)</x:f>
        <x:v>0</x:v>
      </x:c>
      <x:c r="F55" s="59" t="n">
        <x:f>IF(C55=0,0,COUNTIFS('TO Observations'!$X$2:$X$201,A55,'TO Observations'!$C$2:$C$201,B55,'TO Observations'!$O$2:$O$201,"Yes",'TO Observations'!$AN$2:$AN$201,"Yes")/C55)</x:f>
        <x:v>0</x:v>
      </x:c>
      <x:c r="G55" s="59" t="n">
        <x:f>IF(C55=0,0,COUNTIFS('TO Observations'!$X$2:$X$201,A55,'TO Observations'!$C$2:$C$201,B55,'TO Observations'!$P$2:$P$201,"Yes",'TO Observations'!$AN$2:$AN$201,"Yes")/C55)</x:f>
        <x:v>0</x:v>
      </x:c>
      <x:c r="H55" t="n">
        <x:f>IF(C55=0,0,SUMIFS('TO Observations'!$K$2:$K$201,'TO Observations'!$X$2:$X$201,A55,'TO Observations'!$C$2:$C$201,B55,'TO Observations'!$AN$2:$AN$201,"Yes")/C55)</x:f>
        <x:v>0</x:v>
      </x:c>
      <x:c r="I55" t="n">
        <x:f>'Volume Validation'!D55</x:f>
        <x:v>0</x:v>
      </x:c>
      <x:c r="J55" t="n">
        <x:f>'Volume Validation'!E55</x:f>
        <x:v>0</x:v>
      </x:c>
      <x:c r="K55" t="n">
        <x:f>'Volume Validation'!F55</x:f>
        <x:v>220</x:v>
      </x:c>
      <x:c r="L55" s="40" t="n">
        <x:f>IFERROR(INDEX('Role Cost Assumptions'!$B$2:$B$10,MATCH(B55,'Role Cost Assumptions'!$A$2:$A$10,0)),25)</x:f>
        <x:v>25</x:v>
      </x:c>
      <x:c r="M55" t="n">
        <x:f>'Volume Validation'!G55</x:f>
        <x:v>0</x:v>
      </x:c>
      <x:c r="N55" t="n">
        <x:f>IF('Volume Validation'!J55="Yes",I55*J55*K55,0)</x:f>
        <x:v>0</x:v>
      </x:c>
      <x:c r="O55" s="24" t="n">
        <x:f>N55*(D55+E55)/60*L55</x:f>
        <x:v>0</x:v>
      </x:c>
      <x:c r="P55" t="str">
        <x:f>IF(A55="","",IF('Volume Validation'!J55&lt;&gt;"Yes","HOLD - VOLUME UNVALIDATED",IF(C55&lt;5,"HOLD - LOW TIMING SAMPLE","PROVISIONAL RANKING READY")))</x:f>
      </x:c>
    </x:row>
    <x:row r="56">
      <x:c r="A56" t="n">
        <x:f>'Volume Validation'!A56</x:f>
        <x:v>0</x:v>
      </x:c>
      <x:c r="B56" t="n">
        <x:f>'Volume Validation'!B56</x:f>
        <x:v>0</x:v>
      </x:c>
      <x:c r="C56" t="n">
        <x:f>IF(A56="",0,COUNTIFS('TO Observations'!$X$2:$X$201,A56,'TO Observations'!$C$2:$C$201,B56,'TO Observations'!$AN$2:$AN$201,"Yes"))</x:f>
        <x:v>0</x:v>
      </x:c>
      <x:c r="D56" t="n">
        <x:f>IF(C56=0,0,SUMIFS('TO Observations'!$H$2:$H$201,'TO Observations'!$X$2:$X$201,A56,'TO Observations'!$C$2:$C$201,B56,'TO Observations'!$AN$2:$AN$201,"Yes")/C56)</x:f>
        <x:v>0</x:v>
      </x:c>
      <x:c r="E56" t="n">
        <x:f>IF(C56=0,0,SUMIFS('TO Observations'!$Q$2:$Q$201,'TO Observations'!$X$2:$X$201,A56,'TO Observations'!$C$2:$C$201,B56,'TO Observations'!$AN$2:$AN$201,"Yes")/C56)</x:f>
        <x:v>0</x:v>
      </x:c>
      <x:c r="F56" s="59" t="n">
        <x:f>IF(C56=0,0,COUNTIFS('TO Observations'!$X$2:$X$201,A56,'TO Observations'!$C$2:$C$201,B56,'TO Observations'!$O$2:$O$201,"Yes",'TO Observations'!$AN$2:$AN$201,"Yes")/C56)</x:f>
        <x:v>0</x:v>
      </x:c>
      <x:c r="G56" s="59" t="n">
        <x:f>IF(C56=0,0,COUNTIFS('TO Observations'!$X$2:$X$201,A56,'TO Observations'!$C$2:$C$201,B56,'TO Observations'!$P$2:$P$201,"Yes",'TO Observations'!$AN$2:$AN$201,"Yes")/C56)</x:f>
        <x:v>0</x:v>
      </x:c>
      <x:c r="H56" t="n">
        <x:f>IF(C56=0,0,SUMIFS('TO Observations'!$K$2:$K$201,'TO Observations'!$X$2:$X$201,A56,'TO Observations'!$C$2:$C$201,B56,'TO Observations'!$AN$2:$AN$201,"Yes")/C56)</x:f>
        <x:v>0</x:v>
      </x:c>
      <x:c r="I56" t="n">
        <x:f>'Volume Validation'!D56</x:f>
        <x:v>0</x:v>
      </x:c>
      <x:c r="J56" t="n">
        <x:f>'Volume Validation'!E56</x:f>
        <x:v>0</x:v>
      </x:c>
      <x:c r="K56" t="n">
        <x:f>'Volume Validation'!F56</x:f>
        <x:v>220</x:v>
      </x:c>
      <x:c r="L56" s="40" t="n">
        <x:f>IFERROR(INDEX('Role Cost Assumptions'!$B$2:$B$10,MATCH(B56,'Role Cost Assumptions'!$A$2:$A$10,0)),25)</x:f>
        <x:v>25</x:v>
      </x:c>
      <x:c r="M56" t="n">
        <x:f>'Volume Validation'!G56</x:f>
        <x:v>0</x:v>
      </x:c>
      <x:c r="N56" t="n">
        <x:f>IF('Volume Validation'!J56="Yes",I56*J56*K56,0)</x:f>
        <x:v>0</x:v>
      </x:c>
      <x:c r="O56" s="24" t="n">
        <x:f>N56*(D56+E56)/60*L56</x:f>
        <x:v>0</x:v>
      </x:c>
      <x:c r="P56" t="str">
        <x:f>IF(A56="","",IF('Volume Validation'!J56&lt;&gt;"Yes","HOLD - VOLUME UNVALIDATED",IF(C56&lt;5,"HOLD - LOW TIMING SAMPLE","PROVISIONAL RANKING READY")))</x:f>
      </x:c>
    </x:row>
    <x:row r="57">
      <x:c r="A57" t="n">
        <x:f>'Volume Validation'!A57</x:f>
        <x:v>0</x:v>
      </x:c>
      <x:c r="B57" t="n">
        <x:f>'Volume Validation'!B57</x:f>
        <x:v>0</x:v>
      </x:c>
      <x:c r="C57" t="n">
        <x:f>IF(A57="",0,COUNTIFS('TO Observations'!$X$2:$X$201,A57,'TO Observations'!$C$2:$C$201,B57,'TO Observations'!$AN$2:$AN$201,"Yes"))</x:f>
        <x:v>0</x:v>
      </x:c>
      <x:c r="D57" t="n">
        <x:f>IF(C57=0,0,SUMIFS('TO Observations'!$H$2:$H$201,'TO Observations'!$X$2:$X$201,A57,'TO Observations'!$C$2:$C$201,B57,'TO Observations'!$AN$2:$AN$201,"Yes")/C57)</x:f>
        <x:v>0</x:v>
      </x:c>
      <x:c r="E57" t="n">
        <x:f>IF(C57=0,0,SUMIFS('TO Observations'!$Q$2:$Q$201,'TO Observations'!$X$2:$X$201,A57,'TO Observations'!$C$2:$C$201,B57,'TO Observations'!$AN$2:$AN$201,"Yes")/C57)</x:f>
        <x:v>0</x:v>
      </x:c>
      <x:c r="F57" s="59" t="n">
        <x:f>IF(C57=0,0,COUNTIFS('TO Observations'!$X$2:$X$201,A57,'TO Observations'!$C$2:$C$201,B57,'TO Observations'!$O$2:$O$201,"Yes",'TO Observations'!$AN$2:$AN$201,"Yes")/C57)</x:f>
        <x:v>0</x:v>
      </x:c>
      <x:c r="G57" s="59" t="n">
        <x:f>IF(C57=0,0,COUNTIFS('TO Observations'!$X$2:$X$201,A57,'TO Observations'!$C$2:$C$201,B57,'TO Observations'!$P$2:$P$201,"Yes",'TO Observations'!$AN$2:$AN$201,"Yes")/C57)</x:f>
        <x:v>0</x:v>
      </x:c>
      <x:c r="H57" t="n">
        <x:f>IF(C57=0,0,SUMIFS('TO Observations'!$K$2:$K$201,'TO Observations'!$X$2:$X$201,A57,'TO Observations'!$C$2:$C$201,B57,'TO Observations'!$AN$2:$AN$201,"Yes")/C57)</x:f>
        <x:v>0</x:v>
      </x:c>
      <x:c r="I57" t="n">
        <x:f>'Volume Validation'!D57</x:f>
        <x:v>0</x:v>
      </x:c>
      <x:c r="J57" t="n">
        <x:f>'Volume Validation'!E57</x:f>
        <x:v>0</x:v>
      </x:c>
      <x:c r="K57" t="n">
        <x:f>'Volume Validation'!F57</x:f>
        <x:v>220</x:v>
      </x:c>
      <x:c r="L57" s="40" t="n">
        <x:f>IFERROR(INDEX('Role Cost Assumptions'!$B$2:$B$10,MATCH(B57,'Role Cost Assumptions'!$A$2:$A$10,0)),25)</x:f>
        <x:v>25</x:v>
      </x:c>
      <x:c r="M57" t="n">
        <x:f>'Volume Validation'!G57</x:f>
        <x:v>0</x:v>
      </x:c>
      <x:c r="N57" t="n">
        <x:f>IF('Volume Validation'!J57="Yes",I57*J57*K57,0)</x:f>
        <x:v>0</x:v>
      </x:c>
      <x:c r="O57" s="24" t="n">
        <x:f>N57*(D57+E57)/60*L57</x:f>
        <x:v>0</x:v>
      </x:c>
      <x:c r="P57" t="str">
        <x:f>IF(A57="","",IF('Volume Validation'!J57&lt;&gt;"Yes","HOLD - VOLUME UNVALIDATED",IF(C57&lt;5,"HOLD - LOW TIMING SAMPLE","PROVISIONAL RANKING READY")))</x:f>
      </x:c>
    </x:row>
    <x:row r="58">
      <x:c r="A58" t="n">
        <x:f>'Volume Validation'!A58</x:f>
        <x:v>0</x:v>
      </x:c>
      <x:c r="B58" t="n">
        <x:f>'Volume Validation'!B58</x:f>
        <x:v>0</x:v>
      </x:c>
      <x:c r="C58" t="n">
        <x:f>IF(A58="",0,COUNTIFS('TO Observations'!$X$2:$X$201,A58,'TO Observations'!$C$2:$C$201,B58,'TO Observations'!$AN$2:$AN$201,"Yes"))</x:f>
        <x:v>0</x:v>
      </x:c>
      <x:c r="D58" t="n">
        <x:f>IF(C58=0,0,SUMIFS('TO Observations'!$H$2:$H$201,'TO Observations'!$X$2:$X$201,A58,'TO Observations'!$C$2:$C$201,B58,'TO Observations'!$AN$2:$AN$201,"Yes")/C58)</x:f>
        <x:v>0</x:v>
      </x:c>
      <x:c r="E58" t="n">
        <x:f>IF(C58=0,0,SUMIFS('TO Observations'!$Q$2:$Q$201,'TO Observations'!$X$2:$X$201,A58,'TO Observations'!$C$2:$C$201,B58,'TO Observations'!$AN$2:$AN$201,"Yes")/C58)</x:f>
        <x:v>0</x:v>
      </x:c>
      <x:c r="F58" s="59" t="n">
        <x:f>IF(C58=0,0,COUNTIFS('TO Observations'!$X$2:$X$201,A58,'TO Observations'!$C$2:$C$201,B58,'TO Observations'!$O$2:$O$201,"Yes",'TO Observations'!$AN$2:$AN$201,"Yes")/C58)</x:f>
        <x:v>0</x:v>
      </x:c>
      <x:c r="G58" s="59" t="n">
        <x:f>IF(C58=0,0,COUNTIFS('TO Observations'!$X$2:$X$201,A58,'TO Observations'!$C$2:$C$201,B58,'TO Observations'!$P$2:$P$201,"Yes",'TO Observations'!$AN$2:$AN$201,"Yes")/C58)</x:f>
        <x:v>0</x:v>
      </x:c>
      <x:c r="H58" t="n">
        <x:f>IF(C58=0,0,SUMIFS('TO Observations'!$K$2:$K$201,'TO Observations'!$X$2:$X$201,A58,'TO Observations'!$C$2:$C$201,B58,'TO Observations'!$AN$2:$AN$201,"Yes")/C58)</x:f>
        <x:v>0</x:v>
      </x:c>
      <x:c r="I58" t="n">
        <x:f>'Volume Validation'!D58</x:f>
        <x:v>0</x:v>
      </x:c>
      <x:c r="J58" t="n">
        <x:f>'Volume Validation'!E58</x:f>
        <x:v>0</x:v>
      </x:c>
      <x:c r="K58" t="n">
        <x:f>'Volume Validation'!F58</x:f>
        <x:v>220</x:v>
      </x:c>
      <x:c r="L58" s="40" t="n">
        <x:f>IFERROR(INDEX('Role Cost Assumptions'!$B$2:$B$10,MATCH(B58,'Role Cost Assumptions'!$A$2:$A$10,0)),25)</x:f>
        <x:v>25</x:v>
      </x:c>
      <x:c r="M58" t="n">
        <x:f>'Volume Validation'!G58</x:f>
        <x:v>0</x:v>
      </x:c>
      <x:c r="N58" t="n">
        <x:f>IF('Volume Validation'!J58="Yes",I58*J58*K58,0)</x:f>
        <x:v>0</x:v>
      </x:c>
      <x:c r="O58" s="24" t="n">
        <x:f>N58*(D58+E58)/60*L58</x:f>
        <x:v>0</x:v>
      </x:c>
      <x:c r="P58" t="str">
        <x:f>IF(A58="","",IF('Volume Validation'!J58&lt;&gt;"Yes","HOLD - VOLUME UNVALIDATED",IF(C58&lt;5,"HOLD - LOW TIMING SAMPLE","PROVISIONAL RANKING READY")))</x:f>
      </x:c>
    </x:row>
    <x:row r="59">
      <x:c r="A59" t="n">
        <x:f>'Volume Validation'!A59</x:f>
        <x:v>0</x:v>
      </x:c>
      <x:c r="B59" t="n">
        <x:f>'Volume Validation'!B59</x:f>
        <x:v>0</x:v>
      </x:c>
      <x:c r="C59" t="n">
        <x:f>IF(A59="",0,COUNTIFS('TO Observations'!$X$2:$X$201,A59,'TO Observations'!$C$2:$C$201,B59,'TO Observations'!$AN$2:$AN$201,"Yes"))</x:f>
        <x:v>0</x:v>
      </x:c>
      <x:c r="D59" t="n">
        <x:f>IF(C59=0,0,SUMIFS('TO Observations'!$H$2:$H$201,'TO Observations'!$X$2:$X$201,A59,'TO Observations'!$C$2:$C$201,B59,'TO Observations'!$AN$2:$AN$201,"Yes")/C59)</x:f>
        <x:v>0</x:v>
      </x:c>
      <x:c r="E59" t="n">
        <x:f>IF(C59=0,0,SUMIFS('TO Observations'!$Q$2:$Q$201,'TO Observations'!$X$2:$X$201,A59,'TO Observations'!$C$2:$C$201,B59,'TO Observations'!$AN$2:$AN$201,"Yes")/C59)</x:f>
        <x:v>0</x:v>
      </x:c>
      <x:c r="F59" s="59" t="n">
        <x:f>IF(C59=0,0,COUNTIFS('TO Observations'!$X$2:$X$201,A59,'TO Observations'!$C$2:$C$201,B59,'TO Observations'!$O$2:$O$201,"Yes",'TO Observations'!$AN$2:$AN$201,"Yes")/C59)</x:f>
        <x:v>0</x:v>
      </x:c>
      <x:c r="G59" s="59" t="n">
        <x:f>IF(C59=0,0,COUNTIFS('TO Observations'!$X$2:$X$201,A59,'TO Observations'!$C$2:$C$201,B59,'TO Observations'!$P$2:$P$201,"Yes",'TO Observations'!$AN$2:$AN$201,"Yes")/C59)</x:f>
        <x:v>0</x:v>
      </x:c>
      <x:c r="H59" t="n">
        <x:f>IF(C59=0,0,SUMIFS('TO Observations'!$K$2:$K$201,'TO Observations'!$X$2:$X$201,A59,'TO Observations'!$C$2:$C$201,B59,'TO Observations'!$AN$2:$AN$201,"Yes")/C59)</x:f>
        <x:v>0</x:v>
      </x:c>
      <x:c r="I59" t="n">
        <x:f>'Volume Validation'!D59</x:f>
        <x:v>0</x:v>
      </x:c>
      <x:c r="J59" t="n">
        <x:f>'Volume Validation'!E59</x:f>
        <x:v>0</x:v>
      </x:c>
      <x:c r="K59" t="n">
        <x:f>'Volume Validation'!F59</x:f>
        <x:v>220</x:v>
      </x:c>
      <x:c r="L59" s="40" t="n">
        <x:f>IFERROR(INDEX('Role Cost Assumptions'!$B$2:$B$10,MATCH(B59,'Role Cost Assumptions'!$A$2:$A$10,0)),25)</x:f>
        <x:v>25</x:v>
      </x:c>
      <x:c r="M59" t="n">
        <x:f>'Volume Validation'!G59</x:f>
        <x:v>0</x:v>
      </x:c>
      <x:c r="N59" t="n">
        <x:f>IF('Volume Validation'!J59="Yes",I59*J59*K59,0)</x:f>
        <x:v>0</x:v>
      </x:c>
      <x:c r="O59" s="24" t="n">
        <x:f>N59*(D59+E59)/60*L59</x:f>
        <x:v>0</x:v>
      </x:c>
      <x:c r="P59" t="str">
        <x:f>IF(A59="","",IF('Volume Validation'!J59&lt;&gt;"Yes","HOLD - VOLUME UNVALIDATED",IF(C59&lt;5,"HOLD - LOW TIMING SAMPLE","PROVISIONAL RANKING READY")))</x:f>
      </x:c>
    </x:row>
    <x:row r="60">
      <x:c r="A60" t="n">
        <x:f>'Volume Validation'!A60</x:f>
        <x:v>0</x:v>
      </x:c>
      <x:c r="B60" t="n">
        <x:f>'Volume Validation'!B60</x:f>
        <x:v>0</x:v>
      </x:c>
      <x:c r="C60" t="n">
        <x:f>IF(A60="",0,COUNTIFS('TO Observations'!$X$2:$X$201,A60,'TO Observations'!$C$2:$C$201,B60,'TO Observations'!$AN$2:$AN$201,"Yes"))</x:f>
        <x:v>0</x:v>
      </x:c>
      <x:c r="D60" t="n">
        <x:f>IF(C60=0,0,SUMIFS('TO Observations'!$H$2:$H$201,'TO Observations'!$X$2:$X$201,A60,'TO Observations'!$C$2:$C$201,B60,'TO Observations'!$AN$2:$AN$201,"Yes")/C60)</x:f>
        <x:v>0</x:v>
      </x:c>
      <x:c r="E60" t="n">
        <x:f>IF(C60=0,0,SUMIFS('TO Observations'!$Q$2:$Q$201,'TO Observations'!$X$2:$X$201,A60,'TO Observations'!$C$2:$C$201,B60,'TO Observations'!$AN$2:$AN$201,"Yes")/C60)</x:f>
        <x:v>0</x:v>
      </x:c>
      <x:c r="F60" s="59" t="n">
        <x:f>IF(C60=0,0,COUNTIFS('TO Observations'!$X$2:$X$201,A60,'TO Observations'!$C$2:$C$201,B60,'TO Observations'!$O$2:$O$201,"Yes",'TO Observations'!$AN$2:$AN$201,"Yes")/C60)</x:f>
        <x:v>0</x:v>
      </x:c>
      <x:c r="G60" s="59" t="n">
        <x:f>IF(C60=0,0,COUNTIFS('TO Observations'!$X$2:$X$201,A60,'TO Observations'!$C$2:$C$201,B60,'TO Observations'!$P$2:$P$201,"Yes",'TO Observations'!$AN$2:$AN$201,"Yes")/C60)</x:f>
        <x:v>0</x:v>
      </x:c>
      <x:c r="H60" t="n">
        <x:f>IF(C60=0,0,SUMIFS('TO Observations'!$K$2:$K$201,'TO Observations'!$X$2:$X$201,A60,'TO Observations'!$C$2:$C$201,B60,'TO Observations'!$AN$2:$AN$201,"Yes")/C60)</x:f>
        <x:v>0</x:v>
      </x:c>
      <x:c r="I60" t="n">
        <x:f>'Volume Validation'!D60</x:f>
        <x:v>0</x:v>
      </x:c>
      <x:c r="J60" t="n">
        <x:f>'Volume Validation'!E60</x:f>
        <x:v>0</x:v>
      </x:c>
      <x:c r="K60" t="n">
        <x:f>'Volume Validation'!F60</x:f>
        <x:v>220</x:v>
      </x:c>
      <x:c r="L60" s="40" t="n">
        <x:f>IFERROR(INDEX('Role Cost Assumptions'!$B$2:$B$10,MATCH(B60,'Role Cost Assumptions'!$A$2:$A$10,0)),25)</x:f>
        <x:v>25</x:v>
      </x:c>
      <x:c r="M60" t="n">
        <x:f>'Volume Validation'!G60</x:f>
        <x:v>0</x:v>
      </x:c>
      <x:c r="N60" t="n">
        <x:f>IF('Volume Validation'!J60="Yes",I60*J60*K60,0)</x:f>
        <x:v>0</x:v>
      </x:c>
      <x:c r="O60" s="24" t="n">
        <x:f>N60*(D60+E60)/60*L60</x:f>
        <x:v>0</x:v>
      </x:c>
      <x:c r="P60" t="str">
        <x:f>IF(A60="","",IF('Volume Validation'!J60&lt;&gt;"Yes","HOLD - VOLUME UNVALIDATED",IF(C60&lt;5,"HOLD - LOW TIMING SAMPLE","PROVISIONAL RANKING READY")))</x:f>
      </x:c>
    </x:row>
    <x:row r="61">
      <x:c r="A61" t="n">
        <x:f>'Volume Validation'!A61</x:f>
        <x:v>0</x:v>
      </x:c>
      <x:c r="B61" t="n">
        <x:f>'Volume Validation'!B61</x:f>
        <x:v>0</x:v>
      </x:c>
      <x:c r="C61" t="n">
        <x:f>IF(A61="",0,COUNTIFS('TO Observations'!$X$2:$X$201,A61,'TO Observations'!$C$2:$C$201,B61,'TO Observations'!$AN$2:$AN$201,"Yes"))</x:f>
        <x:v>0</x:v>
      </x:c>
      <x:c r="D61" t="n">
        <x:f>IF(C61=0,0,SUMIFS('TO Observations'!$H$2:$H$201,'TO Observations'!$X$2:$X$201,A61,'TO Observations'!$C$2:$C$201,B61,'TO Observations'!$AN$2:$AN$201,"Yes")/C61)</x:f>
        <x:v>0</x:v>
      </x:c>
      <x:c r="E61" t="n">
        <x:f>IF(C61=0,0,SUMIFS('TO Observations'!$Q$2:$Q$201,'TO Observations'!$X$2:$X$201,A61,'TO Observations'!$C$2:$C$201,B61,'TO Observations'!$AN$2:$AN$201,"Yes")/C61)</x:f>
        <x:v>0</x:v>
      </x:c>
      <x:c r="F61" s="59" t="n">
        <x:f>IF(C61=0,0,COUNTIFS('TO Observations'!$X$2:$X$201,A61,'TO Observations'!$C$2:$C$201,B61,'TO Observations'!$O$2:$O$201,"Yes",'TO Observations'!$AN$2:$AN$201,"Yes")/C61)</x:f>
        <x:v>0</x:v>
      </x:c>
      <x:c r="G61" s="59" t="n">
        <x:f>IF(C61=0,0,COUNTIFS('TO Observations'!$X$2:$X$201,A61,'TO Observations'!$C$2:$C$201,B61,'TO Observations'!$P$2:$P$201,"Yes",'TO Observations'!$AN$2:$AN$201,"Yes")/C61)</x:f>
        <x:v>0</x:v>
      </x:c>
      <x:c r="H61" t="n">
        <x:f>IF(C61=0,0,SUMIFS('TO Observations'!$K$2:$K$201,'TO Observations'!$X$2:$X$201,A61,'TO Observations'!$C$2:$C$201,B61,'TO Observations'!$AN$2:$AN$201,"Yes")/C61)</x:f>
        <x:v>0</x:v>
      </x:c>
      <x:c r="I61" t="n">
        <x:f>'Volume Validation'!D61</x:f>
        <x:v>0</x:v>
      </x:c>
      <x:c r="J61" t="n">
        <x:f>'Volume Validation'!E61</x:f>
        <x:v>0</x:v>
      </x:c>
      <x:c r="K61" t="n">
        <x:f>'Volume Validation'!F61</x:f>
        <x:v>220</x:v>
      </x:c>
      <x:c r="L61" s="40" t="n">
        <x:f>IFERROR(INDEX('Role Cost Assumptions'!$B$2:$B$10,MATCH(B61,'Role Cost Assumptions'!$A$2:$A$10,0)),25)</x:f>
        <x:v>25</x:v>
      </x:c>
      <x:c r="M61" t="n">
        <x:f>'Volume Validation'!G61</x:f>
        <x:v>0</x:v>
      </x:c>
      <x:c r="N61" t="n">
        <x:f>IF('Volume Validation'!J61="Yes",I61*J61*K61,0)</x:f>
        <x:v>0</x:v>
      </x:c>
      <x:c r="O61" s="24" t="n">
        <x:f>N61*(D61+E61)/60*L61</x:f>
        <x:v>0</x:v>
      </x:c>
      <x:c r="P61" t="str">
        <x:f>IF(A61="","",IF('Volume Validation'!J61&lt;&gt;"Yes","HOLD - VOLUME UNVALIDATED",IF(C61&lt;5,"HOLD - LOW TIMING SAMPLE","PROVISIONAL RANKING READY")))</x:f>
      </x:c>
    </x:row>
    <x:row r="62">
      <x:c r="A62" t="n">
        <x:f>'Volume Validation'!A62</x:f>
        <x:v>0</x:v>
      </x:c>
      <x:c r="B62" t="n">
        <x:f>'Volume Validation'!B62</x:f>
        <x:v>0</x:v>
      </x:c>
      <x:c r="C62" t="n">
        <x:f>IF(A62="",0,COUNTIFS('TO Observations'!$X$2:$X$201,A62,'TO Observations'!$C$2:$C$201,B62,'TO Observations'!$AN$2:$AN$201,"Yes"))</x:f>
        <x:v>0</x:v>
      </x:c>
      <x:c r="D62" t="n">
        <x:f>IF(C62=0,0,SUMIFS('TO Observations'!$H$2:$H$201,'TO Observations'!$X$2:$X$201,A62,'TO Observations'!$C$2:$C$201,B62,'TO Observations'!$AN$2:$AN$201,"Yes")/C62)</x:f>
        <x:v>0</x:v>
      </x:c>
      <x:c r="E62" t="n">
        <x:f>IF(C62=0,0,SUMIFS('TO Observations'!$Q$2:$Q$201,'TO Observations'!$X$2:$X$201,A62,'TO Observations'!$C$2:$C$201,B62,'TO Observations'!$AN$2:$AN$201,"Yes")/C62)</x:f>
        <x:v>0</x:v>
      </x:c>
      <x:c r="F62" s="59" t="n">
        <x:f>IF(C62=0,0,COUNTIFS('TO Observations'!$X$2:$X$201,A62,'TO Observations'!$C$2:$C$201,B62,'TO Observations'!$O$2:$O$201,"Yes",'TO Observations'!$AN$2:$AN$201,"Yes")/C62)</x:f>
        <x:v>0</x:v>
      </x:c>
      <x:c r="G62" s="59" t="n">
        <x:f>IF(C62=0,0,COUNTIFS('TO Observations'!$X$2:$X$201,A62,'TO Observations'!$C$2:$C$201,B62,'TO Observations'!$P$2:$P$201,"Yes",'TO Observations'!$AN$2:$AN$201,"Yes")/C62)</x:f>
        <x:v>0</x:v>
      </x:c>
      <x:c r="H62" t="n">
        <x:f>IF(C62=0,0,SUMIFS('TO Observations'!$K$2:$K$201,'TO Observations'!$X$2:$X$201,A62,'TO Observations'!$C$2:$C$201,B62,'TO Observations'!$AN$2:$AN$201,"Yes")/C62)</x:f>
        <x:v>0</x:v>
      </x:c>
      <x:c r="I62" t="n">
        <x:f>'Volume Validation'!D62</x:f>
        <x:v>0</x:v>
      </x:c>
      <x:c r="J62" t="n">
        <x:f>'Volume Validation'!E62</x:f>
        <x:v>0</x:v>
      </x:c>
      <x:c r="K62" t="n">
        <x:f>'Volume Validation'!F62</x:f>
        <x:v>220</x:v>
      </x:c>
      <x:c r="L62" s="40" t="n">
        <x:f>IFERROR(INDEX('Role Cost Assumptions'!$B$2:$B$10,MATCH(B62,'Role Cost Assumptions'!$A$2:$A$10,0)),25)</x:f>
        <x:v>25</x:v>
      </x:c>
      <x:c r="M62" t="n">
        <x:f>'Volume Validation'!G62</x:f>
        <x:v>0</x:v>
      </x:c>
      <x:c r="N62" t="n">
        <x:f>IF('Volume Validation'!J62="Yes",I62*J62*K62,0)</x:f>
        <x:v>0</x:v>
      </x:c>
      <x:c r="O62" s="24" t="n">
        <x:f>N62*(D62+E62)/60*L62</x:f>
        <x:v>0</x:v>
      </x:c>
      <x:c r="P62" t="str">
        <x:f>IF(A62="","",IF('Volume Validation'!J62&lt;&gt;"Yes","HOLD - VOLUME UNVALIDATED",IF(C62&lt;5,"HOLD - LOW TIMING SAMPLE","PROVISIONAL RANKING READY")))</x:f>
      </x:c>
    </x:row>
    <x:row r="63">
      <x:c r="A63" t="n">
        <x:f>'Volume Validation'!A63</x:f>
        <x:v>0</x:v>
      </x:c>
      <x:c r="B63" t="n">
        <x:f>'Volume Validation'!B63</x:f>
        <x:v>0</x:v>
      </x:c>
      <x:c r="C63" t="n">
        <x:f>IF(A63="",0,COUNTIFS('TO Observations'!$X$2:$X$201,A63,'TO Observations'!$C$2:$C$201,B63,'TO Observations'!$AN$2:$AN$201,"Yes"))</x:f>
        <x:v>0</x:v>
      </x:c>
      <x:c r="D63" t="n">
        <x:f>IF(C63=0,0,SUMIFS('TO Observations'!$H$2:$H$201,'TO Observations'!$X$2:$X$201,A63,'TO Observations'!$C$2:$C$201,B63,'TO Observations'!$AN$2:$AN$201,"Yes")/C63)</x:f>
        <x:v>0</x:v>
      </x:c>
      <x:c r="E63" t="n">
        <x:f>IF(C63=0,0,SUMIFS('TO Observations'!$Q$2:$Q$201,'TO Observations'!$X$2:$X$201,A63,'TO Observations'!$C$2:$C$201,B63,'TO Observations'!$AN$2:$AN$201,"Yes")/C63)</x:f>
        <x:v>0</x:v>
      </x:c>
      <x:c r="F63" s="59" t="n">
        <x:f>IF(C63=0,0,COUNTIFS('TO Observations'!$X$2:$X$201,A63,'TO Observations'!$C$2:$C$201,B63,'TO Observations'!$O$2:$O$201,"Yes",'TO Observations'!$AN$2:$AN$201,"Yes")/C63)</x:f>
        <x:v>0</x:v>
      </x:c>
      <x:c r="G63" s="59" t="n">
        <x:f>IF(C63=0,0,COUNTIFS('TO Observations'!$X$2:$X$201,A63,'TO Observations'!$C$2:$C$201,B63,'TO Observations'!$P$2:$P$201,"Yes",'TO Observations'!$AN$2:$AN$201,"Yes")/C63)</x:f>
        <x:v>0</x:v>
      </x:c>
      <x:c r="H63" t="n">
        <x:f>IF(C63=0,0,SUMIFS('TO Observations'!$K$2:$K$201,'TO Observations'!$X$2:$X$201,A63,'TO Observations'!$C$2:$C$201,B63,'TO Observations'!$AN$2:$AN$201,"Yes")/C63)</x:f>
        <x:v>0</x:v>
      </x:c>
      <x:c r="I63" t="n">
        <x:f>'Volume Validation'!D63</x:f>
        <x:v>0</x:v>
      </x:c>
      <x:c r="J63" t="n">
        <x:f>'Volume Validation'!E63</x:f>
        <x:v>0</x:v>
      </x:c>
      <x:c r="K63" t="n">
        <x:f>'Volume Validation'!F63</x:f>
        <x:v>220</x:v>
      </x:c>
      <x:c r="L63" s="40" t="n">
        <x:f>IFERROR(INDEX('Role Cost Assumptions'!$B$2:$B$10,MATCH(B63,'Role Cost Assumptions'!$A$2:$A$10,0)),25)</x:f>
        <x:v>25</x:v>
      </x:c>
      <x:c r="M63" t="n">
        <x:f>'Volume Validation'!G63</x:f>
        <x:v>0</x:v>
      </x:c>
      <x:c r="N63" t="n">
        <x:f>IF('Volume Validation'!J63="Yes",I63*J63*K63,0)</x:f>
        <x:v>0</x:v>
      </x:c>
      <x:c r="O63" s="24" t="n">
        <x:f>N63*(D63+E63)/60*L63</x:f>
        <x:v>0</x:v>
      </x:c>
      <x:c r="P63" t="str">
        <x:f>IF(A63="","",IF('Volume Validation'!J63&lt;&gt;"Yes","HOLD - VOLUME UNVALIDATED",IF(C63&lt;5,"HOLD - LOW TIMING SAMPLE","PROVISIONAL RANKING READY")))</x:f>
      </x:c>
    </x:row>
    <x:row r="64">
      <x:c r="A64" t="n">
        <x:f>'Volume Validation'!A64</x:f>
        <x:v>0</x:v>
      </x:c>
      <x:c r="B64" t="n">
        <x:f>'Volume Validation'!B64</x:f>
        <x:v>0</x:v>
      </x:c>
      <x:c r="C64" t="n">
        <x:f>IF(A64="",0,COUNTIFS('TO Observations'!$X$2:$X$201,A64,'TO Observations'!$C$2:$C$201,B64,'TO Observations'!$AN$2:$AN$201,"Yes"))</x:f>
        <x:v>0</x:v>
      </x:c>
      <x:c r="D64" t="n">
        <x:f>IF(C64=0,0,SUMIFS('TO Observations'!$H$2:$H$201,'TO Observations'!$X$2:$X$201,A64,'TO Observations'!$C$2:$C$201,B64,'TO Observations'!$AN$2:$AN$201,"Yes")/C64)</x:f>
        <x:v>0</x:v>
      </x:c>
      <x:c r="E64" t="n">
        <x:f>IF(C64=0,0,SUMIFS('TO Observations'!$Q$2:$Q$201,'TO Observations'!$X$2:$X$201,A64,'TO Observations'!$C$2:$C$201,B64,'TO Observations'!$AN$2:$AN$201,"Yes")/C64)</x:f>
        <x:v>0</x:v>
      </x:c>
      <x:c r="F64" s="59" t="n">
        <x:f>IF(C64=0,0,COUNTIFS('TO Observations'!$X$2:$X$201,A64,'TO Observations'!$C$2:$C$201,B64,'TO Observations'!$O$2:$O$201,"Yes",'TO Observations'!$AN$2:$AN$201,"Yes")/C64)</x:f>
        <x:v>0</x:v>
      </x:c>
      <x:c r="G64" s="59" t="n">
        <x:f>IF(C64=0,0,COUNTIFS('TO Observations'!$X$2:$X$201,A64,'TO Observations'!$C$2:$C$201,B64,'TO Observations'!$P$2:$P$201,"Yes",'TO Observations'!$AN$2:$AN$201,"Yes")/C64)</x:f>
        <x:v>0</x:v>
      </x:c>
      <x:c r="H64" t="n">
        <x:f>IF(C64=0,0,SUMIFS('TO Observations'!$K$2:$K$201,'TO Observations'!$X$2:$X$201,A64,'TO Observations'!$C$2:$C$201,B64,'TO Observations'!$AN$2:$AN$201,"Yes")/C64)</x:f>
        <x:v>0</x:v>
      </x:c>
      <x:c r="I64" t="n">
        <x:f>'Volume Validation'!D64</x:f>
        <x:v>0</x:v>
      </x:c>
      <x:c r="J64" t="n">
        <x:f>'Volume Validation'!E64</x:f>
        <x:v>0</x:v>
      </x:c>
      <x:c r="K64" t="n">
        <x:f>'Volume Validation'!F64</x:f>
        <x:v>220</x:v>
      </x:c>
      <x:c r="L64" s="40" t="n">
        <x:f>IFERROR(INDEX('Role Cost Assumptions'!$B$2:$B$10,MATCH(B64,'Role Cost Assumptions'!$A$2:$A$10,0)),25)</x:f>
        <x:v>25</x:v>
      </x:c>
      <x:c r="M64" t="n">
        <x:f>'Volume Validation'!G64</x:f>
        <x:v>0</x:v>
      </x:c>
      <x:c r="N64" t="n">
        <x:f>IF('Volume Validation'!J64="Yes",I64*J64*K64,0)</x:f>
        <x:v>0</x:v>
      </x:c>
      <x:c r="O64" s="24" t="n">
        <x:f>N64*(D64+E64)/60*L64</x:f>
        <x:v>0</x:v>
      </x:c>
      <x:c r="P64" t="str">
        <x:f>IF(A64="","",IF('Volume Validation'!J64&lt;&gt;"Yes","HOLD - VOLUME UNVALIDATED",IF(C64&lt;5,"HOLD - LOW TIMING SAMPLE","PROVISIONAL RANKING READY")))</x:f>
      </x:c>
    </x:row>
    <x:row r="65">
      <x:c r="A65" t="n">
        <x:f>'Volume Validation'!A65</x:f>
        <x:v>0</x:v>
      </x:c>
      <x:c r="B65" t="n">
        <x:f>'Volume Validation'!B65</x:f>
        <x:v>0</x:v>
      </x:c>
      <x:c r="C65" t="n">
        <x:f>IF(A65="",0,COUNTIFS('TO Observations'!$X$2:$X$201,A65,'TO Observations'!$C$2:$C$201,B65,'TO Observations'!$AN$2:$AN$201,"Yes"))</x:f>
        <x:v>0</x:v>
      </x:c>
      <x:c r="D65" t="n">
        <x:f>IF(C65=0,0,SUMIFS('TO Observations'!$H$2:$H$201,'TO Observations'!$X$2:$X$201,A65,'TO Observations'!$C$2:$C$201,B65,'TO Observations'!$AN$2:$AN$201,"Yes")/C65)</x:f>
        <x:v>0</x:v>
      </x:c>
      <x:c r="E65" t="n">
        <x:f>IF(C65=0,0,SUMIFS('TO Observations'!$Q$2:$Q$201,'TO Observations'!$X$2:$X$201,A65,'TO Observations'!$C$2:$C$201,B65,'TO Observations'!$AN$2:$AN$201,"Yes")/C65)</x:f>
        <x:v>0</x:v>
      </x:c>
      <x:c r="F65" s="59" t="n">
        <x:f>IF(C65=0,0,COUNTIFS('TO Observations'!$X$2:$X$201,A65,'TO Observations'!$C$2:$C$201,B65,'TO Observations'!$O$2:$O$201,"Yes",'TO Observations'!$AN$2:$AN$201,"Yes")/C65)</x:f>
        <x:v>0</x:v>
      </x:c>
      <x:c r="G65" s="59" t="n">
        <x:f>IF(C65=0,0,COUNTIFS('TO Observations'!$X$2:$X$201,A65,'TO Observations'!$C$2:$C$201,B65,'TO Observations'!$P$2:$P$201,"Yes",'TO Observations'!$AN$2:$AN$201,"Yes")/C65)</x:f>
        <x:v>0</x:v>
      </x:c>
      <x:c r="H65" t="n">
        <x:f>IF(C65=0,0,SUMIFS('TO Observations'!$K$2:$K$201,'TO Observations'!$X$2:$X$201,A65,'TO Observations'!$C$2:$C$201,B65,'TO Observations'!$AN$2:$AN$201,"Yes")/C65)</x:f>
        <x:v>0</x:v>
      </x:c>
      <x:c r="I65" t="n">
        <x:f>'Volume Validation'!D65</x:f>
        <x:v>0</x:v>
      </x:c>
      <x:c r="J65" t="n">
        <x:f>'Volume Validation'!E65</x:f>
        <x:v>0</x:v>
      </x:c>
      <x:c r="K65" t="n">
        <x:f>'Volume Validation'!F65</x:f>
        <x:v>220</x:v>
      </x:c>
      <x:c r="L65" s="40" t="n">
        <x:f>IFERROR(INDEX('Role Cost Assumptions'!$B$2:$B$10,MATCH(B65,'Role Cost Assumptions'!$A$2:$A$10,0)),25)</x:f>
        <x:v>25</x:v>
      </x:c>
      <x:c r="M65" t="n">
        <x:f>'Volume Validation'!G65</x:f>
        <x:v>0</x:v>
      </x:c>
      <x:c r="N65" t="n">
        <x:f>IF('Volume Validation'!J65="Yes",I65*J65*K65,0)</x:f>
        <x:v>0</x:v>
      </x:c>
      <x:c r="O65" s="24" t="n">
        <x:f>N65*(D65+E65)/60*L65</x:f>
        <x:v>0</x:v>
      </x:c>
      <x:c r="P65" t="str">
        <x:f>IF(A65="","",IF('Volume Validation'!J65&lt;&gt;"Yes","HOLD - VOLUME UNVALIDATED",IF(C65&lt;5,"HOLD - LOW TIMING SAMPLE","PROVISIONAL RANKING READY")))</x:f>
      </x:c>
    </x:row>
    <x:row r="66">
      <x:c r="A66" t="n">
        <x:f>'Volume Validation'!A66</x:f>
        <x:v>0</x:v>
      </x:c>
      <x:c r="B66" t="n">
        <x:f>'Volume Validation'!B66</x:f>
        <x:v>0</x:v>
      </x:c>
      <x:c r="C66" t="n">
        <x:f>IF(A66="",0,COUNTIFS('TO Observations'!$X$2:$X$201,A66,'TO Observations'!$C$2:$C$201,B66,'TO Observations'!$AN$2:$AN$201,"Yes"))</x:f>
        <x:v>0</x:v>
      </x:c>
      <x:c r="D66" t="n">
        <x:f>IF(C66=0,0,SUMIFS('TO Observations'!$H$2:$H$201,'TO Observations'!$X$2:$X$201,A66,'TO Observations'!$C$2:$C$201,B66,'TO Observations'!$AN$2:$AN$201,"Yes")/C66)</x:f>
        <x:v>0</x:v>
      </x:c>
      <x:c r="E66" t="n">
        <x:f>IF(C66=0,0,SUMIFS('TO Observations'!$Q$2:$Q$201,'TO Observations'!$X$2:$X$201,A66,'TO Observations'!$C$2:$C$201,B66,'TO Observations'!$AN$2:$AN$201,"Yes")/C66)</x:f>
        <x:v>0</x:v>
      </x:c>
      <x:c r="F66" s="59" t="n">
        <x:f>IF(C66=0,0,COUNTIFS('TO Observations'!$X$2:$X$201,A66,'TO Observations'!$C$2:$C$201,B66,'TO Observations'!$O$2:$O$201,"Yes",'TO Observations'!$AN$2:$AN$201,"Yes")/C66)</x:f>
        <x:v>0</x:v>
      </x:c>
      <x:c r="G66" s="59" t="n">
        <x:f>IF(C66=0,0,COUNTIFS('TO Observations'!$X$2:$X$201,A66,'TO Observations'!$C$2:$C$201,B66,'TO Observations'!$P$2:$P$201,"Yes",'TO Observations'!$AN$2:$AN$201,"Yes")/C66)</x:f>
        <x:v>0</x:v>
      </x:c>
      <x:c r="H66" t="n">
        <x:f>IF(C66=0,0,SUMIFS('TO Observations'!$K$2:$K$201,'TO Observations'!$X$2:$X$201,A66,'TO Observations'!$C$2:$C$201,B66,'TO Observations'!$AN$2:$AN$201,"Yes")/C66)</x:f>
        <x:v>0</x:v>
      </x:c>
      <x:c r="I66" t="n">
        <x:f>'Volume Validation'!D66</x:f>
        <x:v>0</x:v>
      </x:c>
      <x:c r="J66" t="n">
        <x:f>'Volume Validation'!E66</x:f>
        <x:v>0</x:v>
      </x:c>
      <x:c r="K66" t="n">
        <x:f>'Volume Validation'!F66</x:f>
        <x:v>220</x:v>
      </x:c>
      <x:c r="L66" s="40" t="n">
        <x:f>IFERROR(INDEX('Role Cost Assumptions'!$B$2:$B$10,MATCH(B66,'Role Cost Assumptions'!$A$2:$A$10,0)),25)</x:f>
        <x:v>25</x:v>
      </x:c>
      <x:c r="M66" t="n">
        <x:f>'Volume Validation'!G66</x:f>
        <x:v>0</x:v>
      </x:c>
      <x:c r="N66" t="n">
        <x:f>IF('Volume Validation'!J66="Yes",I66*J66*K66,0)</x:f>
        <x:v>0</x:v>
      </x:c>
      <x:c r="O66" s="24" t="n">
        <x:f>N66*(D66+E66)/60*L66</x:f>
        <x:v>0</x:v>
      </x:c>
      <x:c r="P66" t="str">
        <x:f>IF(A66="","",IF('Volume Validation'!J66&lt;&gt;"Yes","HOLD - VOLUME UNVALIDATED",IF(C66&lt;5,"HOLD - LOW TIMING SAMPLE","PROVISIONAL RANKING READY")))</x:f>
      </x:c>
    </x:row>
    <x:row r="67">
      <x:c r="A67" t="n">
        <x:f>'Volume Validation'!A67</x:f>
        <x:v>0</x:v>
      </x:c>
      <x:c r="B67" t="n">
        <x:f>'Volume Validation'!B67</x:f>
        <x:v>0</x:v>
      </x:c>
      <x:c r="C67" t="n">
        <x:f>IF(A67="",0,COUNTIFS('TO Observations'!$X$2:$X$201,A67,'TO Observations'!$C$2:$C$201,B67,'TO Observations'!$AN$2:$AN$201,"Yes"))</x:f>
        <x:v>0</x:v>
      </x:c>
      <x:c r="D67" t="n">
        <x:f>IF(C67=0,0,SUMIFS('TO Observations'!$H$2:$H$201,'TO Observations'!$X$2:$X$201,A67,'TO Observations'!$C$2:$C$201,B67,'TO Observations'!$AN$2:$AN$201,"Yes")/C67)</x:f>
        <x:v>0</x:v>
      </x:c>
      <x:c r="E67" t="n">
        <x:f>IF(C67=0,0,SUMIFS('TO Observations'!$Q$2:$Q$201,'TO Observations'!$X$2:$X$201,A67,'TO Observations'!$C$2:$C$201,B67,'TO Observations'!$AN$2:$AN$201,"Yes")/C67)</x:f>
        <x:v>0</x:v>
      </x:c>
      <x:c r="F67" s="59" t="n">
        <x:f>IF(C67=0,0,COUNTIFS('TO Observations'!$X$2:$X$201,A67,'TO Observations'!$C$2:$C$201,B67,'TO Observations'!$O$2:$O$201,"Yes",'TO Observations'!$AN$2:$AN$201,"Yes")/C67)</x:f>
        <x:v>0</x:v>
      </x:c>
      <x:c r="G67" s="59" t="n">
        <x:f>IF(C67=0,0,COUNTIFS('TO Observations'!$X$2:$X$201,A67,'TO Observations'!$C$2:$C$201,B67,'TO Observations'!$P$2:$P$201,"Yes",'TO Observations'!$AN$2:$AN$201,"Yes")/C67)</x:f>
        <x:v>0</x:v>
      </x:c>
      <x:c r="H67" t="n">
        <x:f>IF(C67=0,0,SUMIFS('TO Observations'!$K$2:$K$201,'TO Observations'!$X$2:$X$201,A67,'TO Observations'!$C$2:$C$201,B67,'TO Observations'!$AN$2:$AN$201,"Yes")/C67)</x:f>
        <x:v>0</x:v>
      </x:c>
      <x:c r="I67" t="n">
        <x:f>'Volume Validation'!D67</x:f>
        <x:v>0</x:v>
      </x:c>
      <x:c r="J67" t="n">
        <x:f>'Volume Validation'!E67</x:f>
        <x:v>0</x:v>
      </x:c>
      <x:c r="K67" t="n">
        <x:f>'Volume Validation'!F67</x:f>
        <x:v>220</x:v>
      </x:c>
      <x:c r="L67" s="40" t="n">
        <x:f>IFERROR(INDEX('Role Cost Assumptions'!$B$2:$B$10,MATCH(B67,'Role Cost Assumptions'!$A$2:$A$10,0)),25)</x:f>
        <x:v>25</x:v>
      </x:c>
      <x:c r="M67" t="n">
        <x:f>'Volume Validation'!G67</x:f>
        <x:v>0</x:v>
      </x:c>
      <x:c r="N67" t="n">
        <x:f>IF('Volume Validation'!J67="Yes",I67*J67*K67,0)</x:f>
        <x:v>0</x:v>
      </x:c>
      <x:c r="O67" s="24" t="n">
        <x:f>N67*(D67+E67)/60*L67</x:f>
        <x:v>0</x:v>
      </x:c>
      <x:c r="P67" t="str">
        <x:f>IF(A67="","",IF('Volume Validation'!J67&lt;&gt;"Yes","HOLD - VOLUME UNVALIDATED",IF(C67&lt;5,"HOLD - LOW TIMING SAMPLE","PROVISIONAL RANKING READY")))</x:f>
      </x:c>
    </x:row>
    <x:row r="68">
      <x:c r="A68" t="n">
        <x:f>'Volume Validation'!A68</x:f>
        <x:v>0</x:v>
      </x:c>
      <x:c r="B68" t="n">
        <x:f>'Volume Validation'!B68</x:f>
        <x:v>0</x:v>
      </x:c>
      <x:c r="C68" t="n">
        <x:f>IF(A68="",0,COUNTIFS('TO Observations'!$X$2:$X$201,A68,'TO Observations'!$C$2:$C$201,B68,'TO Observations'!$AN$2:$AN$201,"Yes"))</x:f>
        <x:v>0</x:v>
      </x:c>
      <x:c r="D68" t="n">
        <x:f>IF(C68=0,0,SUMIFS('TO Observations'!$H$2:$H$201,'TO Observations'!$X$2:$X$201,A68,'TO Observations'!$C$2:$C$201,B68,'TO Observations'!$AN$2:$AN$201,"Yes")/C68)</x:f>
        <x:v>0</x:v>
      </x:c>
      <x:c r="E68" t="n">
        <x:f>IF(C68=0,0,SUMIFS('TO Observations'!$Q$2:$Q$201,'TO Observations'!$X$2:$X$201,A68,'TO Observations'!$C$2:$C$201,B68,'TO Observations'!$AN$2:$AN$201,"Yes")/C68)</x:f>
        <x:v>0</x:v>
      </x:c>
      <x:c r="F68" s="59" t="n">
        <x:f>IF(C68=0,0,COUNTIFS('TO Observations'!$X$2:$X$201,A68,'TO Observations'!$C$2:$C$201,B68,'TO Observations'!$O$2:$O$201,"Yes",'TO Observations'!$AN$2:$AN$201,"Yes")/C68)</x:f>
        <x:v>0</x:v>
      </x:c>
      <x:c r="G68" s="59" t="n">
        <x:f>IF(C68=0,0,COUNTIFS('TO Observations'!$X$2:$X$201,A68,'TO Observations'!$C$2:$C$201,B68,'TO Observations'!$P$2:$P$201,"Yes",'TO Observations'!$AN$2:$AN$201,"Yes")/C68)</x:f>
        <x:v>0</x:v>
      </x:c>
      <x:c r="H68" t="n">
        <x:f>IF(C68=0,0,SUMIFS('TO Observations'!$K$2:$K$201,'TO Observations'!$X$2:$X$201,A68,'TO Observations'!$C$2:$C$201,B68,'TO Observations'!$AN$2:$AN$201,"Yes")/C68)</x:f>
        <x:v>0</x:v>
      </x:c>
      <x:c r="I68" t="n">
        <x:f>'Volume Validation'!D68</x:f>
        <x:v>0</x:v>
      </x:c>
      <x:c r="J68" t="n">
        <x:f>'Volume Validation'!E68</x:f>
        <x:v>0</x:v>
      </x:c>
      <x:c r="K68" t="n">
        <x:f>'Volume Validation'!F68</x:f>
        <x:v>220</x:v>
      </x:c>
      <x:c r="L68" s="40" t="n">
        <x:f>IFERROR(INDEX('Role Cost Assumptions'!$B$2:$B$10,MATCH(B68,'Role Cost Assumptions'!$A$2:$A$10,0)),25)</x:f>
        <x:v>25</x:v>
      </x:c>
      <x:c r="M68" t="n">
        <x:f>'Volume Validation'!G68</x:f>
        <x:v>0</x:v>
      </x:c>
      <x:c r="N68" t="n">
        <x:f>IF('Volume Validation'!J68="Yes",I68*J68*K68,0)</x:f>
        <x:v>0</x:v>
      </x:c>
      <x:c r="O68" s="24" t="n">
        <x:f>N68*(D68+E68)/60*L68</x:f>
        <x:v>0</x:v>
      </x:c>
      <x:c r="P68" t="str">
        <x:f>IF(A68="","",IF('Volume Validation'!J68&lt;&gt;"Yes","HOLD - VOLUME UNVALIDATED",IF(C68&lt;5,"HOLD - LOW TIMING SAMPLE","PROVISIONAL RANKING READY")))</x:f>
      </x:c>
    </x:row>
    <x:row r="69">
      <x:c r="A69" t="n">
        <x:f>'Volume Validation'!A69</x:f>
        <x:v>0</x:v>
      </x:c>
      <x:c r="B69" t="n">
        <x:f>'Volume Validation'!B69</x:f>
        <x:v>0</x:v>
      </x:c>
      <x:c r="C69" t="n">
        <x:f>IF(A69="",0,COUNTIFS('TO Observations'!$X$2:$X$201,A69,'TO Observations'!$C$2:$C$201,B69,'TO Observations'!$AN$2:$AN$201,"Yes"))</x:f>
        <x:v>0</x:v>
      </x:c>
      <x:c r="D69" t="n">
        <x:f>IF(C69=0,0,SUMIFS('TO Observations'!$H$2:$H$201,'TO Observations'!$X$2:$X$201,A69,'TO Observations'!$C$2:$C$201,B69,'TO Observations'!$AN$2:$AN$201,"Yes")/C69)</x:f>
        <x:v>0</x:v>
      </x:c>
      <x:c r="E69" t="n">
        <x:f>IF(C69=0,0,SUMIFS('TO Observations'!$Q$2:$Q$201,'TO Observations'!$X$2:$X$201,A69,'TO Observations'!$C$2:$C$201,B69,'TO Observations'!$AN$2:$AN$201,"Yes")/C69)</x:f>
        <x:v>0</x:v>
      </x:c>
      <x:c r="F69" s="59" t="n">
        <x:f>IF(C69=0,0,COUNTIFS('TO Observations'!$X$2:$X$201,A69,'TO Observations'!$C$2:$C$201,B69,'TO Observations'!$O$2:$O$201,"Yes",'TO Observations'!$AN$2:$AN$201,"Yes")/C69)</x:f>
        <x:v>0</x:v>
      </x:c>
      <x:c r="G69" s="59" t="n">
        <x:f>IF(C69=0,0,COUNTIFS('TO Observations'!$X$2:$X$201,A69,'TO Observations'!$C$2:$C$201,B69,'TO Observations'!$P$2:$P$201,"Yes",'TO Observations'!$AN$2:$AN$201,"Yes")/C69)</x:f>
        <x:v>0</x:v>
      </x:c>
      <x:c r="H69" t="n">
        <x:f>IF(C69=0,0,SUMIFS('TO Observations'!$K$2:$K$201,'TO Observations'!$X$2:$X$201,A69,'TO Observations'!$C$2:$C$201,B69,'TO Observations'!$AN$2:$AN$201,"Yes")/C69)</x:f>
        <x:v>0</x:v>
      </x:c>
      <x:c r="I69" t="n">
        <x:f>'Volume Validation'!D69</x:f>
        <x:v>0</x:v>
      </x:c>
      <x:c r="J69" t="n">
        <x:f>'Volume Validation'!E69</x:f>
        <x:v>0</x:v>
      </x:c>
      <x:c r="K69" t="n">
        <x:f>'Volume Validation'!F69</x:f>
        <x:v>220</x:v>
      </x:c>
      <x:c r="L69" s="40" t="n">
        <x:f>IFERROR(INDEX('Role Cost Assumptions'!$B$2:$B$10,MATCH(B69,'Role Cost Assumptions'!$A$2:$A$10,0)),25)</x:f>
        <x:v>25</x:v>
      </x:c>
      <x:c r="M69" t="n">
        <x:f>'Volume Validation'!G69</x:f>
        <x:v>0</x:v>
      </x:c>
      <x:c r="N69" t="n">
        <x:f>IF('Volume Validation'!J69="Yes",I69*J69*K69,0)</x:f>
        <x:v>0</x:v>
      </x:c>
      <x:c r="O69" s="24" t="n">
        <x:f>N69*(D69+E69)/60*L69</x:f>
        <x:v>0</x:v>
      </x:c>
      <x:c r="P69" t="str">
        <x:f>IF(A69="","",IF('Volume Validation'!J69&lt;&gt;"Yes","HOLD - VOLUME UNVALIDATED",IF(C69&lt;5,"HOLD - LOW TIMING SAMPLE","PROVISIONAL RANKING READY")))</x:f>
      </x:c>
    </x:row>
    <x:row r="70">
      <x:c r="A70" t="n">
        <x:f>'Volume Validation'!A70</x:f>
        <x:v>0</x:v>
      </x:c>
      <x:c r="B70" t="n">
        <x:f>'Volume Validation'!B70</x:f>
        <x:v>0</x:v>
      </x:c>
      <x:c r="C70" t="n">
        <x:f>IF(A70="",0,COUNTIFS('TO Observations'!$X$2:$X$201,A70,'TO Observations'!$C$2:$C$201,B70,'TO Observations'!$AN$2:$AN$201,"Yes"))</x:f>
        <x:v>0</x:v>
      </x:c>
      <x:c r="D70" t="n">
        <x:f>IF(C70=0,0,SUMIFS('TO Observations'!$H$2:$H$201,'TO Observations'!$X$2:$X$201,A70,'TO Observations'!$C$2:$C$201,B70,'TO Observations'!$AN$2:$AN$201,"Yes")/C70)</x:f>
        <x:v>0</x:v>
      </x:c>
      <x:c r="E70" t="n">
        <x:f>IF(C70=0,0,SUMIFS('TO Observations'!$Q$2:$Q$201,'TO Observations'!$X$2:$X$201,A70,'TO Observations'!$C$2:$C$201,B70,'TO Observations'!$AN$2:$AN$201,"Yes")/C70)</x:f>
        <x:v>0</x:v>
      </x:c>
      <x:c r="F70" s="59" t="n">
        <x:f>IF(C70=0,0,COUNTIFS('TO Observations'!$X$2:$X$201,A70,'TO Observations'!$C$2:$C$201,B70,'TO Observations'!$O$2:$O$201,"Yes",'TO Observations'!$AN$2:$AN$201,"Yes")/C70)</x:f>
        <x:v>0</x:v>
      </x:c>
      <x:c r="G70" s="59" t="n">
        <x:f>IF(C70=0,0,COUNTIFS('TO Observations'!$X$2:$X$201,A70,'TO Observations'!$C$2:$C$201,B70,'TO Observations'!$P$2:$P$201,"Yes",'TO Observations'!$AN$2:$AN$201,"Yes")/C70)</x:f>
        <x:v>0</x:v>
      </x:c>
      <x:c r="H70" t="n">
        <x:f>IF(C70=0,0,SUMIFS('TO Observations'!$K$2:$K$201,'TO Observations'!$X$2:$X$201,A70,'TO Observations'!$C$2:$C$201,B70,'TO Observations'!$AN$2:$AN$201,"Yes")/C70)</x:f>
        <x:v>0</x:v>
      </x:c>
      <x:c r="I70" t="n">
        <x:f>'Volume Validation'!D70</x:f>
        <x:v>0</x:v>
      </x:c>
      <x:c r="J70" t="n">
        <x:f>'Volume Validation'!E70</x:f>
        <x:v>0</x:v>
      </x:c>
      <x:c r="K70" t="n">
        <x:f>'Volume Validation'!F70</x:f>
        <x:v>220</x:v>
      </x:c>
      <x:c r="L70" s="40" t="n">
        <x:f>IFERROR(INDEX('Role Cost Assumptions'!$B$2:$B$10,MATCH(B70,'Role Cost Assumptions'!$A$2:$A$10,0)),25)</x:f>
        <x:v>25</x:v>
      </x:c>
      <x:c r="M70" t="n">
        <x:f>'Volume Validation'!G70</x:f>
        <x:v>0</x:v>
      </x:c>
      <x:c r="N70" t="n">
        <x:f>IF('Volume Validation'!J70="Yes",I70*J70*K70,0)</x:f>
        <x:v>0</x:v>
      </x:c>
      <x:c r="O70" s="24" t="n">
        <x:f>N70*(D70+E70)/60*L70</x:f>
        <x:v>0</x:v>
      </x:c>
      <x:c r="P70" t="str">
        <x:f>IF(A70="","",IF('Volume Validation'!J70&lt;&gt;"Yes","HOLD - VOLUME UNVALIDATED",IF(C70&lt;5,"HOLD - LOW TIMING SAMPLE","PROVISIONAL RANKING READY")))</x:f>
      </x:c>
    </x:row>
    <x:row r="71">
      <x:c r="A71" t="n">
        <x:f>'Volume Validation'!A71</x:f>
        <x:v>0</x:v>
      </x:c>
      <x:c r="B71" t="n">
        <x:f>'Volume Validation'!B71</x:f>
        <x:v>0</x:v>
      </x:c>
      <x:c r="C71" t="n">
        <x:f>IF(A71="",0,COUNTIFS('TO Observations'!$X$2:$X$201,A71,'TO Observations'!$C$2:$C$201,B71,'TO Observations'!$AN$2:$AN$201,"Yes"))</x:f>
        <x:v>0</x:v>
      </x:c>
      <x:c r="D71" t="n">
        <x:f>IF(C71=0,0,SUMIFS('TO Observations'!$H$2:$H$201,'TO Observations'!$X$2:$X$201,A71,'TO Observations'!$C$2:$C$201,B71,'TO Observations'!$AN$2:$AN$201,"Yes")/C71)</x:f>
        <x:v>0</x:v>
      </x:c>
      <x:c r="E71" t="n">
        <x:f>IF(C71=0,0,SUMIFS('TO Observations'!$Q$2:$Q$201,'TO Observations'!$X$2:$X$201,A71,'TO Observations'!$C$2:$C$201,B71,'TO Observations'!$AN$2:$AN$201,"Yes")/C71)</x:f>
        <x:v>0</x:v>
      </x:c>
      <x:c r="F71" s="59" t="n">
        <x:f>IF(C71=0,0,COUNTIFS('TO Observations'!$X$2:$X$201,A71,'TO Observations'!$C$2:$C$201,B71,'TO Observations'!$O$2:$O$201,"Yes",'TO Observations'!$AN$2:$AN$201,"Yes")/C71)</x:f>
        <x:v>0</x:v>
      </x:c>
      <x:c r="G71" s="59" t="n">
        <x:f>IF(C71=0,0,COUNTIFS('TO Observations'!$X$2:$X$201,A71,'TO Observations'!$C$2:$C$201,B71,'TO Observations'!$P$2:$P$201,"Yes",'TO Observations'!$AN$2:$AN$201,"Yes")/C71)</x:f>
        <x:v>0</x:v>
      </x:c>
      <x:c r="H71" t="n">
        <x:f>IF(C71=0,0,SUMIFS('TO Observations'!$K$2:$K$201,'TO Observations'!$X$2:$X$201,A71,'TO Observations'!$C$2:$C$201,B71,'TO Observations'!$AN$2:$AN$201,"Yes")/C71)</x:f>
        <x:v>0</x:v>
      </x:c>
      <x:c r="I71" t="n">
        <x:f>'Volume Validation'!D71</x:f>
        <x:v>0</x:v>
      </x:c>
      <x:c r="J71" t="n">
        <x:f>'Volume Validation'!E71</x:f>
        <x:v>0</x:v>
      </x:c>
      <x:c r="K71" t="n">
        <x:f>'Volume Validation'!F71</x:f>
        <x:v>220</x:v>
      </x:c>
      <x:c r="L71" s="40" t="n">
        <x:f>IFERROR(INDEX('Role Cost Assumptions'!$B$2:$B$10,MATCH(B71,'Role Cost Assumptions'!$A$2:$A$10,0)),25)</x:f>
        <x:v>25</x:v>
      </x:c>
      <x:c r="M71" t="n">
        <x:f>'Volume Validation'!G71</x:f>
        <x:v>0</x:v>
      </x:c>
      <x:c r="N71" t="n">
        <x:f>IF('Volume Validation'!J71="Yes",I71*J71*K71,0)</x:f>
        <x:v>0</x:v>
      </x:c>
      <x:c r="O71" s="24" t="n">
        <x:f>N71*(D71+E71)/60*L71</x:f>
        <x:v>0</x:v>
      </x:c>
      <x:c r="P71" t="str">
        <x:f>IF(A71="","",IF('Volume Validation'!J71&lt;&gt;"Yes","HOLD - VOLUME UNVALIDATED",IF(C71&lt;5,"HOLD - LOW TIMING SAMPLE","PROVISIONAL RANKING READY")))</x:f>
      </x:c>
    </x:row>
    <x:row r="72">
      <x:c r="A72" t="n">
        <x:f>'Volume Validation'!A72</x:f>
        <x:v>0</x:v>
      </x:c>
      <x:c r="B72" t="n">
        <x:f>'Volume Validation'!B72</x:f>
        <x:v>0</x:v>
      </x:c>
      <x:c r="C72" t="n">
        <x:f>IF(A72="",0,COUNTIFS('TO Observations'!$X$2:$X$201,A72,'TO Observations'!$C$2:$C$201,B72,'TO Observations'!$AN$2:$AN$201,"Yes"))</x:f>
        <x:v>0</x:v>
      </x:c>
      <x:c r="D72" t="n">
        <x:f>IF(C72=0,0,SUMIFS('TO Observations'!$H$2:$H$201,'TO Observations'!$X$2:$X$201,A72,'TO Observations'!$C$2:$C$201,B72,'TO Observations'!$AN$2:$AN$201,"Yes")/C72)</x:f>
        <x:v>0</x:v>
      </x:c>
      <x:c r="E72" t="n">
        <x:f>IF(C72=0,0,SUMIFS('TO Observations'!$Q$2:$Q$201,'TO Observations'!$X$2:$X$201,A72,'TO Observations'!$C$2:$C$201,B72,'TO Observations'!$AN$2:$AN$201,"Yes")/C72)</x:f>
        <x:v>0</x:v>
      </x:c>
      <x:c r="F72" s="59" t="n">
        <x:f>IF(C72=0,0,COUNTIFS('TO Observations'!$X$2:$X$201,A72,'TO Observations'!$C$2:$C$201,B72,'TO Observations'!$O$2:$O$201,"Yes",'TO Observations'!$AN$2:$AN$201,"Yes")/C72)</x:f>
        <x:v>0</x:v>
      </x:c>
      <x:c r="G72" s="59" t="n">
        <x:f>IF(C72=0,0,COUNTIFS('TO Observations'!$X$2:$X$201,A72,'TO Observations'!$C$2:$C$201,B72,'TO Observations'!$P$2:$P$201,"Yes",'TO Observations'!$AN$2:$AN$201,"Yes")/C72)</x:f>
        <x:v>0</x:v>
      </x:c>
      <x:c r="H72" t="n">
        <x:f>IF(C72=0,0,SUMIFS('TO Observations'!$K$2:$K$201,'TO Observations'!$X$2:$X$201,A72,'TO Observations'!$C$2:$C$201,B72,'TO Observations'!$AN$2:$AN$201,"Yes")/C72)</x:f>
        <x:v>0</x:v>
      </x:c>
      <x:c r="I72" t="n">
        <x:f>'Volume Validation'!D72</x:f>
        <x:v>0</x:v>
      </x:c>
      <x:c r="J72" t="n">
        <x:f>'Volume Validation'!E72</x:f>
        <x:v>0</x:v>
      </x:c>
      <x:c r="K72" t="n">
        <x:f>'Volume Validation'!F72</x:f>
        <x:v>220</x:v>
      </x:c>
      <x:c r="L72" s="40" t="n">
        <x:f>IFERROR(INDEX('Role Cost Assumptions'!$B$2:$B$10,MATCH(B72,'Role Cost Assumptions'!$A$2:$A$10,0)),25)</x:f>
        <x:v>25</x:v>
      </x:c>
      <x:c r="M72" t="n">
        <x:f>'Volume Validation'!G72</x:f>
        <x:v>0</x:v>
      </x:c>
      <x:c r="N72" t="n">
        <x:f>IF('Volume Validation'!J72="Yes",I72*J72*K72,0)</x:f>
        <x:v>0</x:v>
      </x:c>
      <x:c r="O72" s="24" t="n">
        <x:f>N72*(D72+E72)/60*L72</x:f>
        <x:v>0</x:v>
      </x:c>
      <x:c r="P72" t="str">
        <x:f>IF(A72="","",IF('Volume Validation'!J72&lt;&gt;"Yes","HOLD - VOLUME UNVALIDATED",IF(C72&lt;5,"HOLD - LOW TIMING SAMPLE","PROVISIONAL RANKING READY")))</x:f>
      </x:c>
    </x:row>
    <x:row r="73">
      <x:c r="A73" t="n">
        <x:f>'Volume Validation'!A73</x:f>
        <x:v>0</x:v>
      </x:c>
      <x:c r="B73" t="n">
        <x:f>'Volume Validation'!B73</x:f>
        <x:v>0</x:v>
      </x:c>
      <x:c r="C73" t="n">
        <x:f>IF(A73="",0,COUNTIFS('TO Observations'!$X$2:$X$201,A73,'TO Observations'!$C$2:$C$201,B73,'TO Observations'!$AN$2:$AN$201,"Yes"))</x:f>
        <x:v>0</x:v>
      </x:c>
      <x:c r="D73" t="n">
        <x:f>IF(C73=0,0,SUMIFS('TO Observations'!$H$2:$H$201,'TO Observations'!$X$2:$X$201,A73,'TO Observations'!$C$2:$C$201,B73,'TO Observations'!$AN$2:$AN$201,"Yes")/C73)</x:f>
        <x:v>0</x:v>
      </x:c>
      <x:c r="E73" t="n">
        <x:f>IF(C73=0,0,SUMIFS('TO Observations'!$Q$2:$Q$201,'TO Observations'!$X$2:$X$201,A73,'TO Observations'!$C$2:$C$201,B73,'TO Observations'!$AN$2:$AN$201,"Yes")/C73)</x:f>
        <x:v>0</x:v>
      </x:c>
      <x:c r="F73" s="59" t="n">
        <x:f>IF(C73=0,0,COUNTIFS('TO Observations'!$X$2:$X$201,A73,'TO Observations'!$C$2:$C$201,B73,'TO Observations'!$O$2:$O$201,"Yes",'TO Observations'!$AN$2:$AN$201,"Yes")/C73)</x:f>
        <x:v>0</x:v>
      </x:c>
      <x:c r="G73" s="59" t="n">
        <x:f>IF(C73=0,0,COUNTIFS('TO Observations'!$X$2:$X$201,A73,'TO Observations'!$C$2:$C$201,B73,'TO Observations'!$P$2:$P$201,"Yes",'TO Observations'!$AN$2:$AN$201,"Yes")/C73)</x:f>
        <x:v>0</x:v>
      </x:c>
      <x:c r="H73" t="n">
        <x:f>IF(C73=0,0,SUMIFS('TO Observations'!$K$2:$K$201,'TO Observations'!$X$2:$X$201,A73,'TO Observations'!$C$2:$C$201,B73,'TO Observations'!$AN$2:$AN$201,"Yes")/C73)</x:f>
        <x:v>0</x:v>
      </x:c>
      <x:c r="I73" t="n">
        <x:f>'Volume Validation'!D73</x:f>
        <x:v>0</x:v>
      </x:c>
      <x:c r="J73" t="n">
        <x:f>'Volume Validation'!E73</x:f>
        <x:v>0</x:v>
      </x:c>
      <x:c r="K73" t="n">
        <x:f>'Volume Validation'!F73</x:f>
        <x:v>220</x:v>
      </x:c>
      <x:c r="L73" s="40" t="n">
        <x:f>IFERROR(INDEX('Role Cost Assumptions'!$B$2:$B$10,MATCH(B73,'Role Cost Assumptions'!$A$2:$A$10,0)),25)</x:f>
        <x:v>25</x:v>
      </x:c>
      <x:c r="M73" t="n">
        <x:f>'Volume Validation'!G73</x:f>
        <x:v>0</x:v>
      </x:c>
      <x:c r="N73" t="n">
        <x:f>IF('Volume Validation'!J73="Yes",I73*J73*K73,0)</x:f>
        <x:v>0</x:v>
      </x:c>
      <x:c r="O73" s="24" t="n">
        <x:f>N73*(D73+E73)/60*L73</x:f>
        <x:v>0</x:v>
      </x:c>
      <x:c r="P73" t="str">
        <x:f>IF(A73="","",IF('Volume Validation'!J73&lt;&gt;"Yes","HOLD - VOLUME UNVALIDATED",IF(C73&lt;5,"HOLD - LOW TIMING SAMPLE","PROVISIONAL RANKING READY")))</x:f>
      </x:c>
    </x:row>
    <x:row r="74">
      <x:c r="A74" t="n">
        <x:f>'Volume Validation'!A74</x:f>
        <x:v>0</x:v>
      </x:c>
      <x:c r="B74" t="n">
        <x:f>'Volume Validation'!B74</x:f>
        <x:v>0</x:v>
      </x:c>
      <x:c r="C74" t="n">
        <x:f>IF(A74="",0,COUNTIFS('TO Observations'!$X$2:$X$201,A74,'TO Observations'!$C$2:$C$201,B74,'TO Observations'!$AN$2:$AN$201,"Yes"))</x:f>
        <x:v>0</x:v>
      </x:c>
      <x:c r="D74" t="n">
        <x:f>IF(C74=0,0,SUMIFS('TO Observations'!$H$2:$H$201,'TO Observations'!$X$2:$X$201,A74,'TO Observations'!$C$2:$C$201,B74,'TO Observations'!$AN$2:$AN$201,"Yes")/C74)</x:f>
        <x:v>0</x:v>
      </x:c>
      <x:c r="E74" t="n">
        <x:f>IF(C74=0,0,SUMIFS('TO Observations'!$Q$2:$Q$201,'TO Observations'!$X$2:$X$201,A74,'TO Observations'!$C$2:$C$201,B74,'TO Observations'!$AN$2:$AN$201,"Yes")/C74)</x:f>
        <x:v>0</x:v>
      </x:c>
      <x:c r="F74" s="59" t="n">
        <x:f>IF(C74=0,0,COUNTIFS('TO Observations'!$X$2:$X$201,A74,'TO Observations'!$C$2:$C$201,B74,'TO Observations'!$O$2:$O$201,"Yes",'TO Observations'!$AN$2:$AN$201,"Yes")/C74)</x:f>
        <x:v>0</x:v>
      </x:c>
      <x:c r="G74" s="59" t="n">
        <x:f>IF(C74=0,0,COUNTIFS('TO Observations'!$X$2:$X$201,A74,'TO Observations'!$C$2:$C$201,B74,'TO Observations'!$P$2:$P$201,"Yes",'TO Observations'!$AN$2:$AN$201,"Yes")/C74)</x:f>
        <x:v>0</x:v>
      </x:c>
      <x:c r="H74" t="n">
        <x:f>IF(C74=0,0,SUMIFS('TO Observations'!$K$2:$K$201,'TO Observations'!$X$2:$X$201,A74,'TO Observations'!$C$2:$C$201,B74,'TO Observations'!$AN$2:$AN$201,"Yes")/C74)</x:f>
        <x:v>0</x:v>
      </x:c>
      <x:c r="I74" t="n">
        <x:f>'Volume Validation'!D74</x:f>
        <x:v>0</x:v>
      </x:c>
      <x:c r="J74" t="n">
        <x:f>'Volume Validation'!E74</x:f>
        <x:v>0</x:v>
      </x:c>
      <x:c r="K74" t="n">
        <x:f>'Volume Validation'!F74</x:f>
        <x:v>220</x:v>
      </x:c>
      <x:c r="L74" s="40" t="n">
        <x:f>IFERROR(INDEX('Role Cost Assumptions'!$B$2:$B$10,MATCH(B74,'Role Cost Assumptions'!$A$2:$A$10,0)),25)</x:f>
        <x:v>25</x:v>
      </x:c>
      <x:c r="M74" t="n">
        <x:f>'Volume Validation'!G74</x:f>
        <x:v>0</x:v>
      </x:c>
      <x:c r="N74" t="n">
        <x:f>IF('Volume Validation'!J74="Yes",I74*J74*K74,0)</x:f>
        <x:v>0</x:v>
      </x:c>
      <x:c r="O74" s="24" t="n">
        <x:f>N74*(D74+E74)/60*L74</x:f>
        <x:v>0</x:v>
      </x:c>
      <x:c r="P74" t="str">
        <x:f>IF(A74="","",IF('Volume Validation'!J74&lt;&gt;"Yes","HOLD - VOLUME UNVALIDATED",IF(C74&lt;5,"HOLD - LOW TIMING SAMPLE","PROVISIONAL RANKING READY")))</x:f>
      </x:c>
    </x:row>
    <x:row r="75">
      <x:c r="A75" t="n">
        <x:f>'Volume Validation'!A75</x:f>
        <x:v>0</x:v>
      </x:c>
      <x:c r="B75" t="n">
        <x:f>'Volume Validation'!B75</x:f>
        <x:v>0</x:v>
      </x:c>
      <x:c r="C75" t="n">
        <x:f>IF(A75="",0,COUNTIFS('TO Observations'!$X$2:$X$201,A75,'TO Observations'!$C$2:$C$201,B75,'TO Observations'!$AN$2:$AN$201,"Yes"))</x:f>
        <x:v>0</x:v>
      </x:c>
      <x:c r="D75" t="n">
        <x:f>IF(C75=0,0,SUMIFS('TO Observations'!$H$2:$H$201,'TO Observations'!$X$2:$X$201,A75,'TO Observations'!$C$2:$C$201,B75,'TO Observations'!$AN$2:$AN$201,"Yes")/C75)</x:f>
        <x:v>0</x:v>
      </x:c>
      <x:c r="E75" t="n">
        <x:f>IF(C75=0,0,SUMIFS('TO Observations'!$Q$2:$Q$201,'TO Observations'!$X$2:$X$201,A75,'TO Observations'!$C$2:$C$201,B75,'TO Observations'!$AN$2:$AN$201,"Yes")/C75)</x:f>
        <x:v>0</x:v>
      </x:c>
      <x:c r="F75" s="59" t="n">
        <x:f>IF(C75=0,0,COUNTIFS('TO Observations'!$X$2:$X$201,A75,'TO Observations'!$C$2:$C$201,B75,'TO Observations'!$O$2:$O$201,"Yes",'TO Observations'!$AN$2:$AN$201,"Yes")/C75)</x:f>
        <x:v>0</x:v>
      </x:c>
      <x:c r="G75" s="59" t="n">
        <x:f>IF(C75=0,0,COUNTIFS('TO Observations'!$X$2:$X$201,A75,'TO Observations'!$C$2:$C$201,B75,'TO Observations'!$P$2:$P$201,"Yes",'TO Observations'!$AN$2:$AN$201,"Yes")/C75)</x:f>
        <x:v>0</x:v>
      </x:c>
      <x:c r="H75" t="n">
        <x:f>IF(C75=0,0,SUMIFS('TO Observations'!$K$2:$K$201,'TO Observations'!$X$2:$X$201,A75,'TO Observations'!$C$2:$C$201,B75,'TO Observations'!$AN$2:$AN$201,"Yes")/C75)</x:f>
        <x:v>0</x:v>
      </x:c>
      <x:c r="I75" t="n">
        <x:f>'Volume Validation'!D75</x:f>
        <x:v>0</x:v>
      </x:c>
      <x:c r="J75" t="n">
        <x:f>'Volume Validation'!E75</x:f>
        <x:v>0</x:v>
      </x:c>
      <x:c r="K75" t="n">
        <x:f>'Volume Validation'!F75</x:f>
        <x:v>220</x:v>
      </x:c>
      <x:c r="L75" s="40" t="n">
        <x:f>IFERROR(INDEX('Role Cost Assumptions'!$B$2:$B$10,MATCH(B75,'Role Cost Assumptions'!$A$2:$A$10,0)),25)</x:f>
        <x:v>25</x:v>
      </x:c>
      <x:c r="M75" t="n">
        <x:f>'Volume Validation'!G75</x:f>
        <x:v>0</x:v>
      </x:c>
      <x:c r="N75" t="n">
        <x:f>IF('Volume Validation'!J75="Yes",I75*J75*K75,0)</x:f>
        <x:v>0</x:v>
      </x:c>
      <x:c r="O75" s="24" t="n">
        <x:f>N75*(D75+E75)/60*L75</x:f>
        <x:v>0</x:v>
      </x:c>
      <x:c r="P75" t="str">
        <x:f>IF(A75="","",IF('Volume Validation'!J75&lt;&gt;"Yes","HOLD - VOLUME UNVALIDATED",IF(C75&lt;5,"HOLD - LOW TIMING SAMPLE","PROVISIONAL RANKING READY")))</x:f>
      </x:c>
    </x:row>
    <x:row r="76">
      <x:c r="A76" t="n">
        <x:f>'Volume Validation'!A76</x:f>
        <x:v>0</x:v>
      </x:c>
      <x:c r="B76" t="n">
        <x:f>'Volume Validation'!B76</x:f>
        <x:v>0</x:v>
      </x:c>
      <x:c r="C76" t="n">
        <x:f>IF(A76="",0,COUNTIFS('TO Observations'!$X$2:$X$201,A76,'TO Observations'!$C$2:$C$201,B76,'TO Observations'!$AN$2:$AN$201,"Yes"))</x:f>
        <x:v>0</x:v>
      </x:c>
      <x:c r="D76" t="n">
        <x:f>IF(C76=0,0,SUMIFS('TO Observations'!$H$2:$H$201,'TO Observations'!$X$2:$X$201,A76,'TO Observations'!$C$2:$C$201,B76,'TO Observations'!$AN$2:$AN$201,"Yes")/C76)</x:f>
        <x:v>0</x:v>
      </x:c>
      <x:c r="E76" t="n">
        <x:f>IF(C76=0,0,SUMIFS('TO Observations'!$Q$2:$Q$201,'TO Observations'!$X$2:$X$201,A76,'TO Observations'!$C$2:$C$201,B76,'TO Observations'!$AN$2:$AN$201,"Yes")/C76)</x:f>
        <x:v>0</x:v>
      </x:c>
      <x:c r="F76" s="59" t="n">
        <x:f>IF(C76=0,0,COUNTIFS('TO Observations'!$X$2:$X$201,A76,'TO Observations'!$C$2:$C$201,B76,'TO Observations'!$O$2:$O$201,"Yes",'TO Observations'!$AN$2:$AN$201,"Yes")/C76)</x:f>
        <x:v>0</x:v>
      </x:c>
      <x:c r="G76" s="59" t="n">
        <x:f>IF(C76=0,0,COUNTIFS('TO Observations'!$X$2:$X$201,A76,'TO Observations'!$C$2:$C$201,B76,'TO Observations'!$P$2:$P$201,"Yes",'TO Observations'!$AN$2:$AN$201,"Yes")/C76)</x:f>
        <x:v>0</x:v>
      </x:c>
      <x:c r="H76" t="n">
        <x:f>IF(C76=0,0,SUMIFS('TO Observations'!$K$2:$K$201,'TO Observations'!$X$2:$X$201,A76,'TO Observations'!$C$2:$C$201,B76,'TO Observations'!$AN$2:$AN$201,"Yes")/C76)</x:f>
        <x:v>0</x:v>
      </x:c>
      <x:c r="I76" t="n">
        <x:f>'Volume Validation'!D76</x:f>
        <x:v>0</x:v>
      </x:c>
      <x:c r="J76" t="n">
        <x:f>'Volume Validation'!E76</x:f>
        <x:v>0</x:v>
      </x:c>
      <x:c r="K76" t="n">
        <x:f>'Volume Validation'!F76</x:f>
        <x:v>220</x:v>
      </x:c>
      <x:c r="L76" s="40" t="n">
        <x:f>IFERROR(INDEX('Role Cost Assumptions'!$B$2:$B$10,MATCH(B76,'Role Cost Assumptions'!$A$2:$A$10,0)),25)</x:f>
        <x:v>25</x:v>
      </x:c>
      <x:c r="M76" t="n">
        <x:f>'Volume Validation'!G76</x:f>
        <x:v>0</x:v>
      </x:c>
      <x:c r="N76" t="n">
        <x:f>IF('Volume Validation'!J76="Yes",I76*J76*K76,0)</x:f>
        <x:v>0</x:v>
      </x:c>
      <x:c r="O76" s="24" t="n">
        <x:f>N76*(D76+E76)/60*L76</x:f>
        <x:v>0</x:v>
      </x:c>
      <x:c r="P76" t="str">
        <x:f>IF(A76="","",IF('Volume Validation'!J76&lt;&gt;"Yes","HOLD - VOLUME UNVALIDATED",IF(C76&lt;5,"HOLD - LOW TIMING SAMPLE","PROVISIONAL RANKING READY")))</x:f>
      </x:c>
    </x:row>
    <x:row r="77">
      <x:c r="A77" t="n">
        <x:f>'Volume Validation'!A77</x:f>
        <x:v>0</x:v>
      </x:c>
      <x:c r="B77" t="n">
        <x:f>'Volume Validation'!B77</x:f>
        <x:v>0</x:v>
      </x:c>
      <x:c r="C77" t="n">
        <x:f>IF(A77="",0,COUNTIFS('TO Observations'!$X$2:$X$201,A77,'TO Observations'!$C$2:$C$201,B77,'TO Observations'!$AN$2:$AN$201,"Yes"))</x:f>
        <x:v>0</x:v>
      </x:c>
      <x:c r="D77" t="n">
        <x:f>IF(C77=0,0,SUMIFS('TO Observations'!$H$2:$H$201,'TO Observations'!$X$2:$X$201,A77,'TO Observations'!$C$2:$C$201,B77,'TO Observations'!$AN$2:$AN$201,"Yes")/C77)</x:f>
        <x:v>0</x:v>
      </x:c>
      <x:c r="E77" t="n">
        <x:f>IF(C77=0,0,SUMIFS('TO Observations'!$Q$2:$Q$201,'TO Observations'!$X$2:$X$201,A77,'TO Observations'!$C$2:$C$201,B77,'TO Observations'!$AN$2:$AN$201,"Yes")/C77)</x:f>
        <x:v>0</x:v>
      </x:c>
      <x:c r="F77" s="59" t="n">
        <x:f>IF(C77=0,0,COUNTIFS('TO Observations'!$X$2:$X$201,A77,'TO Observations'!$C$2:$C$201,B77,'TO Observations'!$O$2:$O$201,"Yes",'TO Observations'!$AN$2:$AN$201,"Yes")/C77)</x:f>
        <x:v>0</x:v>
      </x:c>
      <x:c r="G77" s="59" t="n">
        <x:f>IF(C77=0,0,COUNTIFS('TO Observations'!$X$2:$X$201,A77,'TO Observations'!$C$2:$C$201,B77,'TO Observations'!$P$2:$P$201,"Yes",'TO Observations'!$AN$2:$AN$201,"Yes")/C77)</x:f>
        <x:v>0</x:v>
      </x:c>
      <x:c r="H77" t="n">
        <x:f>IF(C77=0,0,SUMIFS('TO Observations'!$K$2:$K$201,'TO Observations'!$X$2:$X$201,A77,'TO Observations'!$C$2:$C$201,B77,'TO Observations'!$AN$2:$AN$201,"Yes")/C77)</x:f>
        <x:v>0</x:v>
      </x:c>
      <x:c r="I77" t="n">
        <x:f>'Volume Validation'!D77</x:f>
        <x:v>0</x:v>
      </x:c>
      <x:c r="J77" t="n">
        <x:f>'Volume Validation'!E77</x:f>
        <x:v>0</x:v>
      </x:c>
      <x:c r="K77" t="n">
        <x:f>'Volume Validation'!F77</x:f>
        <x:v>220</x:v>
      </x:c>
      <x:c r="L77" s="40" t="n">
        <x:f>IFERROR(INDEX('Role Cost Assumptions'!$B$2:$B$10,MATCH(B77,'Role Cost Assumptions'!$A$2:$A$10,0)),25)</x:f>
        <x:v>25</x:v>
      </x:c>
      <x:c r="M77" t="n">
        <x:f>'Volume Validation'!G77</x:f>
        <x:v>0</x:v>
      </x:c>
      <x:c r="N77" t="n">
        <x:f>IF('Volume Validation'!J77="Yes",I77*J77*K77,0)</x:f>
        <x:v>0</x:v>
      </x:c>
      <x:c r="O77" s="24" t="n">
        <x:f>N77*(D77+E77)/60*L77</x:f>
        <x:v>0</x:v>
      </x:c>
      <x:c r="P77" t="str">
        <x:f>IF(A77="","",IF('Volume Validation'!J77&lt;&gt;"Yes","HOLD - VOLUME UNVALIDATED",IF(C77&lt;5,"HOLD - LOW TIMING SAMPLE","PROVISIONAL RANKING READY")))</x:f>
      </x:c>
    </x:row>
    <x:row r="78">
      <x:c r="A78" t="n">
        <x:f>'Volume Validation'!A78</x:f>
        <x:v>0</x:v>
      </x:c>
      <x:c r="B78" t="n">
        <x:f>'Volume Validation'!B78</x:f>
        <x:v>0</x:v>
      </x:c>
      <x:c r="C78" t="n">
        <x:f>IF(A78="",0,COUNTIFS('TO Observations'!$X$2:$X$201,A78,'TO Observations'!$C$2:$C$201,B78,'TO Observations'!$AN$2:$AN$201,"Yes"))</x:f>
        <x:v>0</x:v>
      </x:c>
      <x:c r="D78" t="n">
        <x:f>IF(C78=0,0,SUMIFS('TO Observations'!$H$2:$H$201,'TO Observations'!$X$2:$X$201,A78,'TO Observations'!$C$2:$C$201,B78,'TO Observations'!$AN$2:$AN$201,"Yes")/C78)</x:f>
        <x:v>0</x:v>
      </x:c>
      <x:c r="E78" t="n">
        <x:f>IF(C78=0,0,SUMIFS('TO Observations'!$Q$2:$Q$201,'TO Observations'!$X$2:$X$201,A78,'TO Observations'!$C$2:$C$201,B78,'TO Observations'!$AN$2:$AN$201,"Yes")/C78)</x:f>
        <x:v>0</x:v>
      </x:c>
      <x:c r="F78" s="59" t="n">
        <x:f>IF(C78=0,0,COUNTIFS('TO Observations'!$X$2:$X$201,A78,'TO Observations'!$C$2:$C$201,B78,'TO Observations'!$O$2:$O$201,"Yes",'TO Observations'!$AN$2:$AN$201,"Yes")/C78)</x:f>
        <x:v>0</x:v>
      </x:c>
      <x:c r="G78" s="59" t="n">
        <x:f>IF(C78=0,0,COUNTIFS('TO Observations'!$X$2:$X$201,A78,'TO Observations'!$C$2:$C$201,B78,'TO Observations'!$P$2:$P$201,"Yes",'TO Observations'!$AN$2:$AN$201,"Yes")/C78)</x:f>
        <x:v>0</x:v>
      </x:c>
      <x:c r="H78" t="n">
        <x:f>IF(C78=0,0,SUMIFS('TO Observations'!$K$2:$K$201,'TO Observations'!$X$2:$X$201,A78,'TO Observations'!$C$2:$C$201,B78,'TO Observations'!$AN$2:$AN$201,"Yes")/C78)</x:f>
        <x:v>0</x:v>
      </x:c>
      <x:c r="I78" t="n">
        <x:f>'Volume Validation'!D78</x:f>
        <x:v>0</x:v>
      </x:c>
      <x:c r="J78" t="n">
        <x:f>'Volume Validation'!E78</x:f>
        <x:v>0</x:v>
      </x:c>
      <x:c r="K78" t="n">
        <x:f>'Volume Validation'!F78</x:f>
        <x:v>220</x:v>
      </x:c>
      <x:c r="L78" s="40" t="n">
        <x:f>IFERROR(INDEX('Role Cost Assumptions'!$B$2:$B$10,MATCH(B78,'Role Cost Assumptions'!$A$2:$A$10,0)),25)</x:f>
        <x:v>25</x:v>
      </x:c>
      <x:c r="M78" t="n">
        <x:f>'Volume Validation'!G78</x:f>
        <x:v>0</x:v>
      </x:c>
      <x:c r="N78" t="n">
        <x:f>IF('Volume Validation'!J78="Yes",I78*J78*K78,0)</x:f>
        <x:v>0</x:v>
      </x:c>
      <x:c r="O78" s="24" t="n">
        <x:f>N78*(D78+E78)/60*L78</x:f>
        <x:v>0</x:v>
      </x:c>
      <x:c r="P78" t="str">
        <x:f>IF(A78="","",IF('Volume Validation'!J78&lt;&gt;"Yes","HOLD - VOLUME UNVALIDATED",IF(C78&lt;5,"HOLD - LOW TIMING SAMPLE","PROVISIONAL RANKING READY")))</x:f>
      </x:c>
    </x:row>
    <x:row r="79">
      <x:c r="A79" t="n">
        <x:f>'Volume Validation'!A79</x:f>
        <x:v>0</x:v>
      </x:c>
      <x:c r="B79" t="n">
        <x:f>'Volume Validation'!B79</x:f>
        <x:v>0</x:v>
      </x:c>
      <x:c r="C79" t="n">
        <x:f>IF(A79="",0,COUNTIFS('TO Observations'!$X$2:$X$201,A79,'TO Observations'!$C$2:$C$201,B79,'TO Observations'!$AN$2:$AN$201,"Yes"))</x:f>
        <x:v>0</x:v>
      </x:c>
      <x:c r="D79" t="n">
        <x:f>IF(C79=0,0,SUMIFS('TO Observations'!$H$2:$H$201,'TO Observations'!$X$2:$X$201,A79,'TO Observations'!$C$2:$C$201,B79,'TO Observations'!$AN$2:$AN$201,"Yes")/C79)</x:f>
        <x:v>0</x:v>
      </x:c>
      <x:c r="E79" t="n">
        <x:f>IF(C79=0,0,SUMIFS('TO Observations'!$Q$2:$Q$201,'TO Observations'!$X$2:$X$201,A79,'TO Observations'!$C$2:$C$201,B79,'TO Observations'!$AN$2:$AN$201,"Yes")/C79)</x:f>
        <x:v>0</x:v>
      </x:c>
      <x:c r="F79" s="59" t="n">
        <x:f>IF(C79=0,0,COUNTIFS('TO Observations'!$X$2:$X$201,A79,'TO Observations'!$C$2:$C$201,B79,'TO Observations'!$O$2:$O$201,"Yes",'TO Observations'!$AN$2:$AN$201,"Yes")/C79)</x:f>
        <x:v>0</x:v>
      </x:c>
      <x:c r="G79" s="59" t="n">
        <x:f>IF(C79=0,0,COUNTIFS('TO Observations'!$X$2:$X$201,A79,'TO Observations'!$C$2:$C$201,B79,'TO Observations'!$P$2:$P$201,"Yes",'TO Observations'!$AN$2:$AN$201,"Yes")/C79)</x:f>
        <x:v>0</x:v>
      </x:c>
      <x:c r="H79" t="n">
        <x:f>IF(C79=0,0,SUMIFS('TO Observations'!$K$2:$K$201,'TO Observations'!$X$2:$X$201,A79,'TO Observations'!$C$2:$C$201,B79,'TO Observations'!$AN$2:$AN$201,"Yes")/C79)</x:f>
        <x:v>0</x:v>
      </x:c>
      <x:c r="I79" t="n">
        <x:f>'Volume Validation'!D79</x:f>
        <x:v>0</x:v>
      </x:c>
      <x:c r="J79" t="n">
        <x:f>'Volume Validation'!E79</x:f>
        <x:v>0</x:v>
      </x:c>
      <x:c r="K79" t="n">
        <x:f>'Volume Validation'!F79</x:f>
        <x:v>220</x:v>
      </x:c>
      <x:c r="L79" s="40" t="n">
        <x:f>IFERROR(INDEX('Role Cost Assumptions'!$B$2:$B$10,MATCH(B79,'Role Cost Assumptions'!$A$2:$A$10,0)),25)</x:f>
        <x:v>25</x:v>
      </x:c>
      <x:c r="M79" t="n">
        <x:f>'Volume Validation'!G79</x:f>
        <x:v>0</x:v>
      </x:c>
      <x:c r="N79" t="n">
        <x:f>IF('Volume Validation'!J79="Yes",I79*J79*K79,0)</x:f>
        <x:v>0</x:v>
      </x:c>
      <x:c r="O79" s="24" t="n">
        <x:f>N79*(D79+E79)/60*L79</x:f>
        <x:v>0</x:v>
      </x:c>
      <x:c r="P79" t="str">
        <x:f>IF(A79="","",IF('Volume Validation'!J79&lt;&gt;"Yes","HOLD - VOLUME UNVALIDATED",IF(C79&lt;5,"HOLD - LOW TIMING SAMPLE","PROVISIONAL RANKING READY")))</x:f>
      </x:c>
    </x:row>
    <x:row r="80">
      <x:c r="A80" t="n">
        <x:f>'Volume Validation'!A80</x:f>
        <x:v>0</x:v>
      </x:c>
      <x:c r="B80" t="n">
        <x:f>'Volume Validation'!B80</x:f>
        <x:v>0</x:v>
      </x:c>
      <x:c r="C80" t="n">
        <x:f>IF(A80="",0,COUNTIFS('TO Observations'!$X$2:$X$201,A80,'TO Observations'!$C$2:$C$201,B80,'TO Observations'!$AN$2:$AN$201,"Yes"))</x:f>
        <x:v>0</x:v>
      </x:c>
      <x:c r="D80" t="n">
        <x:f>IF(C80=0,0,SUMIFS('TO Observations'!$H$2:$H$201,'TO Observations'!$X$2:$X$201,A80,'TO Observations'!$C$2:$C$201,B80,'TO Observations'!$AN$2:$AN$201,"Yes")/C80)</x:f>
        <x:v>0</x:v>
      </x:c>
      <x:c r="E80" t="n">
        <x:f>IF(C80=0,0,SUMIFS('TO Observations'!$Q$2:$Q$201,'TO Observations'!$X$2:$X$201,A80,'TO Observations'!$C$2:$C$201,B80,'TO Observations'!$AN$2:$AN$201,"Yes")/C80)</x:f>
        <x:v>0</x:v>
      </x:c>
      <x:c r="F80" s="59" t="n">
        <x:f>IF(C80=0,0,COUNTIFS('TO Observations'!$X$2:$X$201,A80,'TO Observations'!$C$2:$C$201,B80,'TO Observations'!$O$2:$O$201,"Yes",'TO Observations'!$AN$2:$AN$201,"Yes")/C80)</x:f>
        <x:v>0</x:v>
      </x:c>
      <x:c r="G80" s="59" t="n">
        <x:f>IF(C80=0,0,COUNTIFS('TO Observations'!$X$2:$X$201,A80,'TO Observations'!$C$2:$C$201,B80,'TO Observations'!$P$2:$P$201,"Yes",'TO Observations'!$AN$2:$AN$201,"Yes")/C80)</x:f>
        <x:v>0</x:v>
      </x:c>
      <x:c r="H80" t="n">
        <x:f>IF(C80=0,0,SUMIFS('TO Observations'!$K$2:$K$201,'TO Observations'!$X$2:$X$201,A80,'TO Observations'!$C$2:$C$201,B80,'TO Observations'!$AN$2:$AN$201,"Yes")/C80)</x:f>
        <x:v>0</x:v>
      </x:c>
      <x:c r="I80" t="n">
        <x:f>'Volume Validation'!D80</x:f>
        <x:v>0</x:v>
      </x:c>
      <x:c r="J80" t="n">
        <x:f>'Volume Validation'!E80</x:f>
        <x:v>0</x:v>
      </x:c>
      <x:c r="K80" t="n">
        <x:f>'Volume Validation'!F80</x:f>
        <x:v>220</x:v>
      </x:c>
      <x:c r="L80" s="40" t="n">
        <x:f>IFERROR(INDEX('Role Cost Assumptions'!$B$2:$B$10,MATCH(B80,'Role Cost Assumptions'!$A$2:$A$10,0)),25)</x:f>
        <x:v>25</x:v>
      </x:c>
      <x:c r="M80" t="n">
        <x:f>'Volume Validation'!G80</x:f>
        <x:v>0</x:v>
      </x:c>
      <x:c r="N80" t="n">
        <x:f>IF('Volume Validation'!J80="Yes",I80*J80*K80,0)</x:f>
        <x:v>0</x:v>
      </x:c>
      <x:c r="O80" s="24" t="n">
        <x:f>N80*(D80+E80)/60*L80</x:f>
        <x:v>0</x:v>
      </x:c>
      <x:c r="P80" t="str">
        <x:f>IF(A80="","",IF('Volume Validation'!J80&lt;&gt;"Yes","HOLD - VOLUME UNVALIDATED",IF(C80&lt;5,"HOLD - LOW TIMING SAMPLE","PROVISIONAL RANKING READY")))</x:f>
      </x:c>
    </x:row>
    <x:row r="81">
      <x:c r="A81" t="n">
        <x:f>'Volume Validation'!A81</x:f>
        <x:v>0</x:v>
      </x:c>
      <x:c r="B81" t="n">
        <x:f>'Volume Validation'!B81</x:f>
        <x:v>0</x:v>
      </x:c>
      <x:c r="C81" t="n">
        <x:f>IF(A81="",0,COUNTIFS('TO Observations'!$X$2:$X$201,A81,'TO Observations'!$C$2:$C$201,B81,'TO Observations'!$AN$2:$AN$201,"Yes"))</x:f>
        <x:v>0</x:v>
      </x:c>
      <x:c r="D81" t="n">
        <x:f>IF(C81=0,0,SUMIFS('TO Observations'!$H$2:$H$201,'TO Observations'!$X$2:$X$201,A81,'TO Observations'!$C$2:$C$201,B81,'TO Observations'!$AN$2:$AN$201,"Yes")/C81)</x:f>
        <x:v>0</x:v>
      </x:c>
      <x:c r="E81" t="n">
        <x:f>IF(C81=0,0,SUMIFS('TO Observations'!$Q$2:$Q$201,'TO Observations'!$X$2:$X$201,A81,'TO Observations'!$C$2:$C$201,B81,'TO Observations'!$AN$2:$AN$201,"Yes")/C81)</x:f>
        <x:v>0</x:v>
      </x:c>
      <x:c r="F81" s="59" t="n">
        <x:f>IF(C81=0,0,COUNTIFS('TO Observations'!$X$2:$X$201,A81,'TO Observations'!$C$2:$C$201,B81,'TO Observations'!$O$2:$O$201,"Yes",'TO Observations'!$AN$2:$AN$201,"Yes")/C81)</x:f>
        <x:v>0</x:v>
      </x:c>
      <x:c r="G81" s="59" t="n">
        <x:f>IF(C81=0,0,COUNTIFS('TO Observations'!$X$2:$X$201,A81,'TO Observations'!$C$2:$C$201,B81,'TO Observations'!$P$2:$P$201,"Yes",'TO Observations'!$AN$2:$AN$201,"Yes")/C81)</x:f>
        <x:v>0</x:v>
      </x:c>
      <x:c r="H81" t="n">
        <x:f>IF(C81=0,0,SUMIFS('TO Observations'!$K$2:$K$201,'TO Observations'!$X$2:$X$201,A81,'TO Observations'!$C$2:$C$201,B81,'TO Observations'!$AN$2:$AN$201,"Yes")/C81)</x:f>
        <x:v>0</x:v>
      </x:c>
      <x:c r="I81" t="n">
        <x:f>'Volume Validation'!D81</x:f>
        <x:v>0</x:v>
      </x:c>
      <x:c r="J81" t="n">
        <x:f>'Volume Validation'!E81</x:f>
        <x:v>0</x:v>
      </x:c>
      <x:c r="K81" t="n">
        <x:f>'Volume Validation'!F81</x:f>
        <x:v>220</x:v>
      </x:c>
      <x:c r="L81" s="40" t="n">
        <x:f>IFERROR(INDEX('Role Cost Assumptions'!$B$2:$B$10,MATCH(B81,'Role Cost Assumptions'!$A$2:$A$10,0)),25)</x:f>
        <x:v>25</x:v>
      </x:c>
      <x:c r="M81" t="n">
        <x:f>'Volume Validation'!G81</x:f>
        <x:v>0</x:v>
      </x:c>
      <x:c r="N81" t="n">
        <x:f>IF('Volume Validation'!J81="Yes",I81*J81*K81,0)</x:f>
        <x:v>0</x:v>
      </x:c>
      <x:c r="O81" s="24" t="n">
        <x:f>N81*(D81+E81)/60*L81</x:f>
        <x:v>0</x:v>
      </x:c>
      <x:c r="P81" t="str">
        <x:f>IF(A81="","",IF('Volume Validation'!J81&lt;&gt;"Yes","HOLD - VOLUME UNVALIDATED",IF(C81&lt;5,"HOLD - LOW TIMING SAMPLE","PROVISIONAL RANKING READY")))</x:f>
      </x:c>
    </x:row>
    <x:row r="82">
      <x:c r="A82" t="n">
        <x:f>'Volume Validation'!A82</x:f>
        <x:v>0</x:v>
      </x:c>
      <x:c r="B82" t="n">
        <x:f>'Volume Validation'!B82</x:f>
        <x:v>0</x:v>
      </x:c>
      <x:c r="C82" t="n">
        <x:f>IF(A82="",0,COUNTIFS('TO Observations'!$X$2:$X$201,A82,'TO Observations'!$C$2:$C$201,B82,'TO Observations'!$AN$2:$AN$201,"Yes"))</x:f>
        <x:v>0</x:v>
      </x:c>
      <x:c r="D82" t="n">
        <x:f>IF(C82=0,0,SUMIFS('TO Observations'!$H$2:$H$201,'TO Observations'!$X$2:$X$201,A82,'TO Observations'!$C$2:$C$201,B82,'TO Observations'!$AN$2:$AN$201,"Yes")/C82)</x:f>
        <x:v>0</x:v>
      </x:c>
      <x:c r="E82" t="n">
        <x:f>IF(C82=0,0,SUMIFS('TO Observations'!$Q$2:$Q$201,'TO Observations'!$X$2:$X$201,A82,'TO Observations'!$C$2:$C$201,B82,'TO Observations'!$AN$2:$AN$201,"Yes")/C82)</x:f>
        <x:v>0</x:v>
      </x:c>
      <x:c r="F82" s="59" t="n">
        <x:f>IF(C82=0,0,COUNTIFS('TO Observations'!$X$2:$X$201,A82,'TO Observations'!$C$2:$C$201,B82,'TO Observations'!$O$2:$O$201,"Yes",'TO Observations'!$AN$2:$AN$201,"Yes")/C82)</x:f>
        <x:v>0</x:v>
      </x:c>
      <x:c r="G82" s="59" t="n">
        <x:f>IF(C82=0,0,COUNTIFS('TO Observations'!$X$2:$X$201,A82,'TO Observations'!$C$2:$C$201,B82,'TO Observations'!$P$2:$P$201,"Yes",'TO Observations'!$AN$2:$AN$201,"Yes")/C82)</x:f>
        <x:v>0</x:v>
      </x:c>
      <x:c r="H82" t="n">
        <x:f>IF(C82=0,0,SUMIFS('TO Observations'!$K$2:$K$201,'TO Observations'!$X$2:$X$201,A82,'TO Observations'!$C$2:$C$201,B82,'TO Observations'!$AN$2:$AN$201,"Yes")/C82)</x:f>
        <x:v>0</x:v>
      </x:c>
      <x:c r="I82" t="n">
        <x:f>'Volume Validation'!D82</x:f>
        <x:v>0</x:v>
      </x:c>
      <x:c r="J82" t="n">
        <x:f>'Volume Validation'!E82</x:f>
        <x:v>0</x:v>
      </x:c>
      <x:c r="K82" t="n">
        <x:f>'Volume Validation'!F82</x:f>
        <x:v>220</x:v>
      </x:c>
      <x:c r="L82" s="40" t="n">
        <x:f>IFERROR(INDEX('Role Cost Assumptions'!$B$2:$B$10,MATCH(B82,'Role Cost Assumptions'!$A$2:$A$10,0)),25)</x:f>
        <x:v>25</x:v>
      </x:c>
      <x:c r="M82" t="n">
        <x:f>'Volume Validation'!G82</x:f>
        <x:v>0</x:v>
      </x:c>
      <x:c r="N82" t="n">
        <x:f>IF('Volume Validation'!J82="Yes",I82*J82*K82,0)</x:f>
        <x:v>0</x:v>
      </x:c>
      <x:c r="O82" s="24" t="n">
        <x:f>N82*(D82+E82)/60*L82</x:f>
        <x:v>0</x:v>
      </x:c>
      <x:c r="P82" t="str">
        <x:f>IF(A82="","",IF('Volume Validation'!J82&lt;&gt;"Yes","HOLD - VOLUME UNVALIDATED",IF(C82&lt;5,"HOLD - LOW TIMING SAMPLE","PROVISIONAL RANKING READY")))</x:f>
      </x:c>
    </x:row>
    <x:row r="83">
      <x:c r="A83" t="n">
        <x:f>'Volume Validation'!A83</x:f>
        <x:v>0</x:v>
      </x:c>
      <x:c r="B83" t="n">
        <x:f>'Volume Validation'!B83</x:f>
        <x:v>0</x:v>
      </x:c>
      <x:c r="C83" t="n">
        <x:f>IF(A83="",0,COUNTIFS('TO Observations'!$X$2:$X$201,A83,'TO Observations'!$C$2:$C$201,B83,'TO Observations'!$AN$2:$AN$201,"Yes"))</x:f>
        <x:v>0</x:v>
      </x:c>
      <x:c r="D83" t="n">
        <x:f>IF(C83=0,0,SUMIFS('TO Observations'!$H$2:$H$201,'TO Observations'!$X$2:$X$201,A83,'TO Observations'!$C$2:$C$201,B83,'TO Observations'!$AN$2:$AN$201,"Yes")/C83)</x:f>
        <x:v>0</x:v>
      </x:c>
      <x:c r="E83" t="n">
        <x:f>IF(C83=0,0,SUMIFS('TO Observations'!$Q$2:$Q$201,'TO Observations'!$X$2:$X$201,A83,'TO Observations'!$C$2:$C$201,B83,'TO Observations'!$AN$2:$AN$201,"Yes")/C83)</x:f>
        <x:v>0</x:v>
      </x:c>
      <x:c r="F83" s="59" t="n">
        <x:f>IF(C83=0,0,COUNTIFS('TO Observations'!$X$2:$X$201,A83,'TO Observations'!$C$2:$C$201,B83,'TO Observations'!$O$2:$O$201,"Yes",'TO Observations'!$AN$2:$AN$201,"Yes")/C83)</x:f>
        <x:v>0</x:v>
      </x:c>
      <x:c r="G83" s="59" t="n">
        <x:f>IF(C83=0,0,COUNTIFS('TO Observations'!$X$2:$X$201,A83,'TO Observations'!$C$2:$C$201,B83,'TO Observations'!$P$2:$P$201,"Yes",'TO Observations'!$AN$2:$AN$201,"Yes")/C83)</x:f>
        <x:v>0</x:v>
      </x:c>
      <x:c r="H83" t="n">
        <x:f>IF(C83=0,0,SUMIFS('TO Observations'!$K$2:$K$201,'TO Observations'!$X$2:$X$201,A83,'TO Observations'!$C$2:$C$201,B83,'TO Observations'!$AN$2:$AN$201,"Yes")/C83)</x:f>
        <x:v>0</x:v>
      </x:c>
      <x:c r="I83" t="n">
        <x:f>'Volume Validation'!D83</x:f>
        <x:v>0</x:v>
      </x:c>
      <x:c r="J83" t="n">
        <x:f>'Volume Validation'!E83</x:f>
        <x:v>0</x:v>
      </x:c>
      <x:c r="K83" t="n">
        <x:f>'Volume Validation'!F83</x:f>
        <x:v>220</x:v>
      </x:c>
      <x:c r="L83" s="40" t="n">
        <x:f>IFERROR(INDEX('Role Cost Assumptions'!$B$2:$B$10,MATCH(B83,'Role Cost Assumptions'!$A$2:$A$10,0)),25)</x:f>
        <x:v>25</x:v>
      </x:c>
      <x:c r="M83" t="n">
        <x:f>'Volume Validation'!G83</x:f>
        <x:v>0</x:v>
      </x:c>
      <x:c r="N83" t="n">
        <x:f>IF('Volume Validation'!J83="Yes",I83*J83*K83,0)</x:f>
        <x:v>0</x:v>
      </x:c>
      <x:c r="O83" s="24" t="n">
        <x:f>N83*(D83+E83)/60*L83</x:f>
        <x:v>0</x:v>
      </x:c>
      <x:c r="P83" t="str">
        <x:f>IF(A83="","",IF('Volume Validation'!J83&lt;&gt;"Yes","HOLD - VOLUME UNVALIDATED",IF(C83&lt;5,"HOLD - LOW TIMING SAMPLE","PROVISIONAL RANKING READY")))</x:f>
      </x:c>
    </x:row>
    <x:row r="84">
      <x:c r="A84" t="n">
        <x:f>'Volume Validation'!A84</x:f>
        <x:v>0</x:v>
      </x:c>
      <x:c r="B84" t="n">
        <x:f>'Volume Validation'!B84</x:f>
        <x:v>0</x:v>
      </x:c>
      <x:c r="C84" t="n">
        <x:f>IF(A84="",0,COUNTIFS('TO Observations'!$X$2:$X$201,A84,'TO Observations'!$C$2:$C$201,B84,'TO Observations'!$AN$2:$AN$201,"Yes"))</x:f>
        <x:v>0</x:v>
      </x:c>
      <x:c r="D84" t="n">
        <x:f>IF(C84=0,0,SUMIFS('TO Observations'!$H$2:$H$201,'TO Observations'!$X$2:$X$201,A84,'TO Observations'!$C$2:$C$201,B84,'TO Observations'!$AN$2:$AN$201,"Yes")/C84)</x:f>
        <x:v>0</x:v>
      </x:c>
      <x:c r="E84" t="n">
        <x:f>IF(C84=0,0,SUMIFS('TO Observations'!$Q$2:$Q$201,'TO Observations'!$X$2:$X$201,A84,'TO Observations'!$C$2:$C$201,B84,'TO Observations'!$AN$2:$AN$201,"Yes")/C84)</x:f>
        <x:v>0</x:v>
      </x:c>
      <x:c r="F84" s="59" t="n">
        <x:f>IF(C84=0,0,COUNTIFS('TO Observations'!$X$2:$X$201,A84,'TO Observations'!$C$2:$C$201,B84,'TO Observations'!$O$2:$O$201,"Yes",'TO Observations'!$AN$2:$AN$201,"Yes")/C84)</x:f>
        <x:v>0</x:v>
      </x:c>
      <x:c r="G84" s="59" t="n">
        <x:f>IF(C84=0,0,COUNTIFS('TO Observations'!$X$2:$X$201,A84,'TO Observations'!$C$2:$C$201,B84,'TO Observations'!$P$2:$P$201,"Yes",'TO Observations'!$AN$2:$AN$201,"Yes")/C84)</x:f>
        <x:v>0</x:v>
      </x:c>
      <x:c r="H84" t="n">
        <x:f>IF(C84=0,0,SUMIFS('TO Observations'!$K$2:$K$201,'TO Observations'!$X$2:$X$201,A84,'TO Observations'!$C$2:$C$201,B84,'TO Observations'!$AN$2:$AN$201,"Yes")/C84)</x:f>
        <x:v>0</x:v>
      </x:c>
      <x:c r="I84" t="n">
        <x:f>'Volume Validation'!D84</x:f>
        <x:v>0</x:v>
      </x:c>
      <x:c r="J84" t="n">
        <x:f>'Volume Validation'!E84</x:f>
        <x:v>0</x:v>
      </x:c>
      <x:c r="K84" t="n">
        <x:f>'Volume Validation'!F84</x:f>
        <x:v>220</x:v>
      </x:c>
      <x:c r="L84" s="40" t="n">
        <x:f>IFERROR(INDEX('Role Cost Assumptions'!$B$2:$B$10,MATCH(B84,'Role Cost Assumptions'!$A$2:$A$10,0)),25)</x:f>
        <x:v>25</x:v>
      </x:c>
      <x:c r="M84" t="n">
        <x:f>'Volume Validation'!G84</x:f>
        <x:v>0</x:v>
      </x:c>
      <x:c r="N84" t="n">
        <x:f>IF('Volume Validation'!J84="Yes",I84*J84*K84,0)</x:f>
        <x:v>0</x:v>
      </x:c>
      <x:c r="O84" s="24" t="n">
        <x:f>N84*(D84+E84)/60*L84</x:f>
        <x:v>0</x:v>
      </x:c>
      <x:c r="P84" t="str">
        <x:f>IF(A84="","",IF('Volume Validation'!J84&lt;&gt;"Yes","HOLD - VOLUME UNVALIDATED",IF(C84&lt;5,"HOLD - LOW TIMING SAMPLE","PROVISIONAL RANKING READY")))</x:f>
      </x:c>
    </x:row>
    <x:row r="85">
      <x:c r="A85" t="n">
        <x:f>'Volume Validation'!A85</x:f>
        <x:v>0</x:v>
      </x:c>
      <x:c r="B85" t="n">
        <x:f>'Volume Validation'!B85</x:f>
        <x:v>0</x:v>
      </x:c>
      <x:c r="C85" t="n">
        <x:f>IF(A85="",0,COUNTIFS('TO Observations'!$X$2:$X$201,A85,'TO Observations'!$C$2:$C$201,B85,'TO Observations'!$AN$2:$AN$201,"Yes"))</x:f>
        <x:v>0</x:v>
      </x:c>
      <x:c r="D85" t="n">
        <x:f>IF(C85=0,0,SUMIFS('TO Observations'!$H$2:$H$201,'TO Observations'!$X$2:$X$201,A85,'TO Observations'!$C$2:$C$201,B85,'TO Observations'!$AN$2:$AN$201,"Yes")/C85)</x:f>
        <x:v>0</x:v>
      </x:c>
      <x:c r="E85" t="n">
        <x:f>IF(C85=0,0,SUMIFS('TO Observations'!$Q$2:$Q$201,'TO Observations'!$X$2:$X$201,A85,'TO Observations'!$C$2:$C$201,B85,'TO Observations'!$AN$2:$AN$201,"Yes")/C85)</x:f>
        <x:v>0</x:v>
      </x:c>
      <x:c r="F85" s="59" t="n">
        <x:f>IF(C85=0,0,COUNTIFS('TO Observations'!$X$2:$X$201,A85,'TO Observations'!$C$2:$C$201,B85,'TO Observations'!$O$2:$O$201,"Yes",'TO Observations'!$AN$2:$AN$201,"Yes")/C85)</x:f>
        <x:v>0</x:v>
      </x:c>
      <x:c r="G85" s="59" t="n">
        <x:f>IF(C85=0,0,COUNTIFS('TO Observations'!$X$2:$X$201,A85,'TO Observations'!$C$2:$C$201,B85,'TO Observations'!$P$2:$P$201,"Yes",'TO Observations'!$AN$2:$AN$201,"Yes")/C85)</x:f>
        <x:v>0</x:v>
      </x:c>
      <x:c r="H85" t="n">
        <x:f>IF(C85=0,0,SUMIFS('TO Observations'!$K$2:$K$201,'TO Observations'!$X$2:$X$201,A85,'TO Observations'!$C$2:$C$201,B85,'TO Observations'!$AN$2:$AN$201,"Yes")/C85)</x:f>
        <x:v>0</x:v>
      </x:c>
      <x:c r="I85" t="n">
        <x:f>'Volume Validation'!D85</x:f>
        <x:v>0</x:v>
      </x:c>
      <x:c r="J85" t="n">
        <x:f>'Volume Validation'!E85</x:f>
        <x:v>0</x:v>
      </x:c>
      <x:c r="K85" t="n">
        <x:f>'Volume Validation'!F85</x:f>
        <x:v>220</x:v>
      </x:c>
      <x:c r="L85" s="40" t="n">
        <x:f>IFERROR(INDEX('Role Cost Assumptions'!$B$2:$B$10,MATCH(B85,'Role Cost Assumptions'!$A$2:$A$10,0)),25)</x:f>
        <x:v>25</x:v>
      </x:c>
      <x:c r="M85" t="n">
        <x:f>'Volume Validation'!G85</x:f>
        <x:v>0</x:v>
      </x:c>
      <x:c r="N85" t="n">
        <x:f>IF('Volume Validation'!J85="Yes",I85*J85*K85,0)</x:f>
        <x:v>0</x:v>
      </x:c>
      <x:c r="O85" s="24" t="n">
        <x:f>N85*(D85+E85)/60*L85</x:f>
        <x:v>0</x:v>
      </x:c>
      <x:c r="P85" t="str">
        <x:f>IF(A85="","",IF('Volume Validation'!J85&lt;&gt;"Yes","HOLD - VOLUME UNVALIDATED",IF(C85&lt;5,"HOLD - LOW TIMING SAMPLE","PROVISIONAL RANKING READY")))</x:f>
      </x:c>
    </x:row>
    <x:row r="86">
      <x:c r="A86" t="n">
        <x:f>'Volume Validation'!A86</x:f>
        <x:v>0</x:v>
      </x:c>
      <x:c r="B86" t="n">
        <x:f>'Volume Validation'!B86</x:f>
        <x:v>0</x:v>
      </x:c>
      <x:c r="C86" t="n">
        <x:f>IF(A86="",0,COUNTIFS('TO Observations'!$X$2:$X$201,A86,'TO Observations'!$C$2:$C$201,B86,'TO Observations'!$AN$2:$AN$201,"Yes"))</x:f>
        <x:v>0</x:v>
      </x:c>
      <x:c r="D86" t="n">
        <x:f>IF(C86=0,0,SUMIFS('TO Observations'!$H$2:$H$201,'TO Observations'!$X$2:$X$201,A86,'TO Observations'!$C$2:$C$201,B86,'TO Observations'!$AN$2:$AN$201,"Yes")/C86)</x:f>
        <x:v>0</x:v>
      </x:c>
      <x:c r="E86" t="n">
        <x:f>IF(C86=0,0,SUMIFS('TO Observations'!$Q$2:$Q$201,'TO Observations'!$X$2:$X$201,A86,'TO Observations'!$C$2:$C$201,B86,'TO Observations'!$AN$2:$AN$201,"Yes")/C86)</x:f>
        <x:v>0</x:v>
      </x:c>
      <x:c r="F86" s="59" t="n">
        <x:f>IF(C86=0,0,COUNTIFS('TO Observations'!$X$2:$X$201,A86,'TO Observations'!$C$2:$C$201,B86,'TO Observations'!$O$2:$O$201,"Yes",'TO Observations'!$AN$2:$AN$201,"Yes")/C86)</x:f>
        <x:v>0</x:v>
      </x:c>
      <x:c r="G86" s="59" t="n">
        <x:f>IF(C86=0,0,COUNTIFS('TO Observations'!$X$2:$X$201,A86,'TO Observations'!$C$2:$C$201,B86,'TO Observations'!$P$2:$P$201,"Yes",'TO Observations'!$AN$2:$AN$201,"Yes")/C86)</x:f>
        <x:v>0</x:v>
      </x:c>
      <x:c r="H86" t="n">
        <x:f>IF(C86=0,0,SUMIFS('TO Observations'!$K$2:$K$201,'TO Observations'!$X$2:$X$201,A86,'TO Observations'!$C$2:$C$201,B86,'TO Observations'!$AN$2:$AN$201,"Yes")/C86)</x:f>
        <x:v>0</x:v>
      </x:c>
      <x:c r="I86" t="n">
        <x:f>'Volume Validation'!D86</x:f>
        <x:v>0</x:v>
      </x:c>
      <x:c r="J86" t="n">
        <x:f>'Volume Validation'!E86</x:f>
        <x:v>0</x:v>
      </x:c>
      <x:c r="K86" t="n">
        <x:f>'Volume Validation'!F86</x:f>
        <x:v>220</x:v>
      </x:c>
      <x:c r="L86" s="40" t="n">
        <x:f>IFERROR(INDEX('Role Cost Assumptions'!$B$2:$B$10,MATCH(B86,'Role Cost Assumptions'!$A$2:$A$10,0)),25)</x:f>
        <x:v>25</x:v>
      </x:c>
      <x:c r="M86" t="n">
        <x:f>'Volume Validation'!G86</x:f>
        <x:v>0</x:v>
      </x:c>
      <x:c r="N86" t="n">
        <x:f>IF('Volume Validation'!J86="Yes",I86*J86*K86,0)</x:f>
        <x:v>0</x:v>
      </x:c>
      <x:c r="O86" s="24" t="n">
        <x:f>N86*(D86+E86)/60*L86</x:f>
        <x:v>0</x:v>
      </x:c>
      <x:c r="P86" t="str">
        <x:f>IF(A86="","",IF('Volume Validation'!J86&lt;&gt;"Yes","HOLD - VOLUME UNVALIDATED",IF(C86&lt;5,"HOLD - LOW TIMING SAMPLE","PROVISIONAL RANKING READY")))</x:f>
      </x:c>
    </x:row>
    <x:row r="87">
      <x:c r="A87" t="n">
        <x:f>'Volume Validation'!A87</x:f>
        <x:v>0</x:v>
      </x:c>
      <x:c r="B87" t="n">
        <x:f>'Volume Validation'!B87</x:f>
        <x:v>0</x:v>
      </x:c>
      <x:c r="C87" t="n">
        <x:f>IF(A87="",0,COUNTIFS('TO Observations'!$X$2:$X$201,A87,'TO Observations'!$C$2:$C$201,B87,'TO Observations'!$AN$2:$AN$201,"Yes"))</x:f>
        <x:v>0</x:v>
      </x:c>
      <x:c r="D87" t="n">
        <x:f>IF(C87=0,0,SUMIFS('TO Observations'!$H$2:$H$201,'TO Observations'!$X$2:$X$201,A87,'TO Observations'!$C$2:$C$201,B87,'TO Observations'!$AN$2:$AN$201,"Yes")/C87)</x:f>
        <x:v>0</x:v>
      </x:c>
      <x:c r="E87" t="n">
        <x:f>IF(C87=0,0,SUMIFS('TO Observations'!$Q$2:$Q$201,'TO Observations'!$X$2:$X$201,A87,'TO Observations'!$C$2:$C$201,B87,'TO Observations'!$AN$2:$AN$201,"Yes")/C87)</x:f>
        <x:v>0</x:v>
      </x:c>
      <x:c r="F87" s="59" t="n">
        <x:f>IF(C87=0,0,COUNTIFS('TO Observations'!$X$2:$X$201,A87,'TO Observations'!$C$2:$C$201,B87,'TO Observations'!$O$2:$O$201,"Yes",'TO Observations'!$AN$2:$AN$201,"Yes")/C87)</x:f>
        <x:v>0</x:v>
      </x:c>
      <x:c r="G87" s="59" t="n">
        <x:f>IF(C87=0,0,COUNTIFS('TO Observations'!$X$2:$X$201,A87,'TO Observations'!$C$2:$C$201,B87,'TO Observations'!$P$2:$P$201,"Yes",'TO Observations'!$AN$2:$AN$201,"Yes")/C87)</x:f>
        <x:v>0</x:v>
      </x:c>
      <x:c r="H87" t="n">
        <x:f>IF(C87=0,0,SUMIFS('TO Observations'!$K$2:$K$201,'TO Observations'!$X$2:$X$201,A87,'TO Observations'!$C$2:$C$201,B87,'TO Observations'!$AN$2:$AN$201,"Yes")/C87)</x:f>
        <x:v>0</x:v>
      </x:c>
      <x:c r="I87" t="n">
        <x:f>'Volume Validation'!D87</x:f>
        <x:v>0</x:v>
      </x:c>
      <x:c r="J87" t="n">
        <x:f>'Volume Validation'!E87</x:f>
        <x:v>0</x:v>
      </x:c>
      <x:c r="K87" t="n">
        <x:f>'Volume Validation'!F87</x:f>
        <x:v>220</x:v>
      </x:c>
      <x:c r="L87" s="40" t="n">
        <x:f>IFERROR(INDEX('Role Cost Assumptions'!$B$2:$B$10,MATCH(B87,'Role Cost Assumptions'!$A$2:$A$10,0)),25)</x:f>
        <x:v>25</x:v>
      </x:c>
      <x:c r="M87" t="n">
        <x:f>'Volume Validation'!G87</x:f>
        <x:v>0</x:v>
      </x:c>
      <x:c r="N87" t="n">
        <x:f>IF('Volume Validation'!J87="Yes",I87*J87*K87,0)</x:f>
        <x:v>0</x:v>
      </x:c>
      <x:c r="O87" s="24" t="n">
        <x:f>N87*(D87+E87)/60*L87</x:f>
        <x:v>0</x:v>
      </x:c>
      <x:c r="P87" t="str">
        <x:f>IF(A87="","",IF('Volume Validation'!J87&lt;&gt;"Yes","HOLD - VOLUME UNVALIDATED",IF(C87&lt;5,"HOLD - LOW TIMING SAMPLE","PROVISIONAL RANKING READY")))</x:f>
      </x:c>
    </x:row>
    <x:row r="88">
      <x:c r="A88" t="n">
        <x:f>'Volume Validation'!A88</x:f>
        <x:v>0</x:v>
      </x:c>
      <x:c r="B88" t="n">
        <x:f>'Volume Validation'!B88</x:f>
        <x:v>0</x:v>
      </x:c>
      <x:c r="C88" t="n">
        <x:f>IF(A88="",0,COUNTIFS('TO Observations'!$X$2:$X$201,A88,'TO Observations'!$C$2:$C$201,B88,'TO Observations'!$AN$2:$AN$201,"Yes"))</x:f>
        <x:v>0</x:v>
      </x:c>
      <x:c r="D88" t="n">
        <x:f>IF(C88=0,0,SUMIFS('TO Observations'!$H$2:$H$201,'TO Observations'!$X$2:$X$201,A88,'TO Observations'!$C$2:$C$201,B88,'TO Observations'!$AN$2:$AN$201,"Yes")/C88)</x:f>
        <x:v>0</x:v>
      </x:c>
      <x:c r="E88" t="n">
        <x:f>IF(C88=0,0,SUMIFS('TO Observations'!$Q$2:$Q$201,'TO Observations'!$X$2:$X$201,A88,'TO Observations'!$C$2:$C$201,B88,'TO Observations'!$AN$2:$AN$201,"Yes")/C88)</x:f>
        <x:v>0</x:v>
      </x:c>
      <x:c r="F88" s="59" t="n">
        <x:f>IF(C88=0,0,COUNTIFS('TO Observations'!$X$2:$X$201,A88,'TO Observations'!$C$2:$C$201,B88,'TO Observations'!$O$2:$O$201,"Yes",'TO Observations'!$AN$2:$AN$201,"Yes")/C88)</x:f>
        <x:v>0</x:v>
      </x:c>
      <x:c r="G88" s="59" t="n">
        <x:f>IF(C88=0,0,COUNTIFS('TO Observations'!$X$2:$X$201,A88,'TO Observations'!$C$2:$C$201,B88,'TO Observations'!$P$2:$P$201,"Yes",'TO Observations'!$AN$2:$AN$201,"Yes")/C88)</x:f>
        <x:v>0</x:v>
      </x:c>
      <x:c r="H88" t="n">
        <x:f>IF(C88=0,0,SUMIFS('TO Observations'!$K$2:$K$201,'TO Observations'!$X$2:$X$201,A88,'TO Observations'!$C$2:$C$201,B88,'TO Observations'!$AN$2:$AN$201,"Yes")/C88)</x:f>
        <x:v>0</x:v>
      </x:c>
      <x:c r="I88" t="n">
        <x:f>'Volume Validation'!D88</x:f>
        <x:v>0</x:v>
      </x:c>
      <x:c r="J88" t="n">
        <x:f>'Volume Validation'!E88</x:f>
        <x:v>0</x:v>
      </x:c>
      <x:c r="K88" t="n">
        <x:f>'Volume Validation'!F88</x:f>
        <x:v>220</x:v>
      </x:c>
      <x:c r="L88" s="40" t="n">
        <x:f>IFERROR(INDEX('Role Cost Assumptions'!$B$2:$B$10,MATCH(B88,'Role Cost Assumptions'!$A$2:$A$10,0)),25)</x:f>
        <x:v>25</x:v>
      </x:c>
      <x:c r="M88" t="n">
        <x:f>'Volume Validation'!G88</x:f>
        <x:v>0</x:v>
      </x:c>
      <x:c r="N88" t="n">
        <x:f>IF('Volume Validation'!J88="Yes",I88*J88*K88,0)</x:f>
        <x:v>0</x:v>
      </x:c>
      <x:c r="O88" s="24" t="n">
        <x:f>N88*(D88+E88)/60*L88</x:f>
        <x:v>0</x:v>
      </x:c>
      <x:c r="P88" t="str">
        <x:f>IF(A88="","",IF('Volume Validation'!J88&lt;&gt;"Yes","HOLD - VOLUME UNVALIDATED",IF(C88&lt;5,"HOLD - LOW TIMING SAMPLE","PROVISIONAL RANKING READY")))</x:f>
      </x:c>
    </x:row>
    <x:row r="89">
      <x:c r="A89" t="n">
        <x:f>'Volume Validation'!A89</x:f>
        <x:v>0</x:v>
      </x:c>
      <x:c r="B89" t="n">
        <x:f>'Volume Validation'!B89</x:f>
        <x:v>0</x:v>
      </x:c>
      <x:c r="C89" t="n">
        <x:f>IF(A89="",0,COUNTIFS('TO Observations'!$X$2:$X$201,A89,'TO Observations'!$C$2:$C$201,B89,'TO Observations'!$AN$2:$AN$201,"Yes"))</x:f>
        <x:v>0</x:v>
      </x:c>
      <x:c r="D89" t="n">
        <x:f>IF(C89=0,0,SUMIFS('TO Observations'!$H$2:$H$201,'TO Observations'!$X$2:$X$201,A89,'TO Observations'!$C$2:$C$201,B89,'TO Observations'!$AN$2:$AN$201,"Yes")/C89)</x:f>
        <x:v>0</x:v>
      </x:c>
      <x:c r="E89" t="n">
        <x:f>IF(C89=0,0,SUMIFS('TO Observations'!$Q$2:$Q$201,'TO Observations'!$X$2:$X$201,A89,'TO Observations'!$C$2:$C$201,B89,'TO Observations'!$AN$2:$AN$201,"Yes")/C89)</x:f>
        <x:v>0</x:v>
      </x:c>
      <x:c r="F89" s="59" t="n">
        <x:f>IF(C89=0,0,COUNTIFS('TO Observations'!$X$2:$X$201,A89,'TO Observations'!$C$2:$C$201,B89,'TO Observations'!$O$2:$O$201,"Yes",'TO Observations'!$AN$2:$AN$201,"Yes")/C89)</x:f>
        <x:v>0</x:v>
      </x:c>
      <x:c r="G89" s="59" t="n">
        <x:f>IF(C89=0,0,COUNTIFS('TO Observations'!$X$2:$X$201,A89,'TO Observations'!$C$2:$C$201,B89,'TO Observations'!$P$2:$P$201,"Yes",'TO Observations'!$AN$2:$AN$201,"Yes")/C89)</x:f>
        <x:v>0</x:v>
      </x:c>
      <x:c r="H89" t="n">
        <x:f>IF(C89=0,0,SUMIFS('TO Observations'!$K$2:$K$201,'TO Observations'!$X$2:$X$201,A89,'TO Observations'!$C$2:$C$201,B89,'TO Observations'!$AN$2:$AN$201,"Yes")/C89)</x:f>
        <x:v>0</x:v>
      </x:c>
      <x:c r="I89" t="n">
        <x:f>'Volume Validation'!D89</x:f>
        <x:v>0</x:v>
      </x:c>
      <x:c r="J89" t="n">
        <x:f>'Volume Validation'!E89</x:f>
        <x:v>0</x:v>
      </x:c>
      <x:c r="K89" t="n">
        <x:f>'Volume Validation'!F89</x:f>
        <x:v>220</x:v>
      </x:c>
      <x:c r="L89" s="40" t="n">
        <x:f>IFERROR(INDEX('Role Cost Assumptions'!$B$2:$B$10,MATCH(B89,'Role Cost Assumptions'!$A$2:$A$10,0)),25)</x:f>
        <x:v>25</x:v>
      </x:c>
      <x:c r="M89" t="n">
        <x:f>'Volume Validation'!G89</x:f>
        <x:v>0</x:v>
      </x:c>
      <x:c r="N89" t="n">
        <x:f>IF('Volume Validation'!J89="Yes",I89*J89*K89,0)</x:f>
        <x:v>0</x:v>
      </x:c>
      <x:c r="O89" s="24" t="n">
        <x:f>N89*(D89+E89)/60*L89</x:f>
        <x:v>0</x:v>
      </x:c>
      <x:c r="P89" t="str">
        <x:f>IF(A89="","",IF('Volume Validation'!J89&lt;&gt;"Yes","HOLD - VOLUME UNVALIDATED",IF(C89&lt;5,"HOLD - LOW TIMING SAMPLE","PROVISIONAL RANKING READY")))</x:f>
      </x:c>
    </x:row>
    <x:row r="90">
      <x:c r="A90" t="n">
        <x:f>'Volume Validation'!A90</x:f>
        <x:v>0</x:v>
      </x:c>
      <x:c r="B90" t="n">
        <x:f>'Volume Validation'!B90</x:f>
        <x:v>0</x:v>
      </x:c>
      <x:c r="C90" t="n">
        <x:f>IF(A90="",0,COUNTIFS('TO Observations'!$X$2:$X$201,A90,'TO Observations'!$C$2:$C$201,B90,'TO Observations'!$AN$2:$AN$201,"Yes"))</x:f>
        <x:v>0</x:v>
      </x:c>
      <x:c r="D90" t="n">
        <x:f>IF(C90=0,0,SUMIFS('TO Observations'!$H$2:$H$201,'TO Observations'!$X$2:$X$201,A90,'TO Observations'!$C$2:$C$201,B90,'TO Observations'!$AN$2:$AN$201,"Yes")/C90)</x:f>
        <x:v>0</x:v>
      </x:c>
      <x:c r="E90" t="n">
        <x:f>IF(C90=0,0,SUMIFS('TO Observations'!$Q$2:$Q$201,'TO Observations'!$X$2:$X$201,A90,'TO Observations'!$C$2:$C$201,B90,'TO Observations'!$AN$2:$AN$201,"Yes")/C90)</x:f>
        <x:v>0</x:v>
      </x:c>
      <x:c r="F90" s="59" t="n">
        <x:f>IF(C90=0,0,COUNTIFS('TO Observations'!$X$2:$X$201,A90,'TO Observations'!$C$2:$C$201,B90,'TO Observations'!$O$2:$O$201,"Yes",'TO Observations'!$AN$2:$AN$201,"Yes")/C90)</x:f>
        <x:v>0</x:v>
      </x:c>
      <x:c r="G90" s="59" t="n">
        <x:f>IF(C90=0,0,COUNTIFS('TO Observations'!$X$2:$X$201,A90,'TO Observations'!$C$2:$C$201,B90,'TO Observations'!$P$2:$P$201,"Yes",'TO Observations'!$AN$2:$AN$201,"Yes")/C90)</x:f>
        <x:v>0</x:v>
      </x:c>
      <x:c r="H90" t="n">
        <x:f>IF(C90=0,0,SUMIFS('TO Observations'!$K$2:$K$201,'TO Observations'!$X$2:$X$201,A90,'TO Observations'!$C$2:$C$201,B90,'TO Observations'!$AN$2:$AN$201,"Yes")/C90)</x:f>
        <x:v>0</x:v>
      </x:c>
      <x:c r="I90" t="n">
        <x:f>'Volume Validation'!D90</x:f>
        <x:v>0</x:v>
      </x:c>
      <x:c r="J90" t="n">
        <x:f>'Volume Validation'!E90</x:f>
        <x:v>0</x:v>
      </x:c>
      <x:c r="K90" t="n">
        <x:f>'Volume Validation'!F90</x:f>
        <x:v>220</x:v>
      </x:c>
      <x:c r="L90" s="40" t="n">
        <x:f>IFERROR(INDEX('Role Cost Assumptions'!$B$2:$B$10,MATCH(B90,'Role Cost Assumptions'!$A$2:$A$10,0)),25)</x:f>
        <x:v>25</x:v>
      </x:c>
      <x:c r="M90" t="n">
        <x:f>'Volume Validation'!G90</x:f>
        <x:v>0</x:v>
      </x:c>
      <x:c r="N90" t="n">
        <x:f>IF('Volume Validation'!J90="Yes",I90*J90*K90,0)</x:f>
        <x:v>0</x:v>
      </x:c>
      <x:c r="O90" s="24" t="n">
        <x:f>N90*(D90+E90)/60*L90</x:f>
        <x:v>0</x:v>
      </x:c>
      <x:c r="P90" t="str">
        <x:f>IF(A90="","",IF('Volume Validation'!J90&lt;&gt;"Yes","HOLD - VOLUME UNVALIDATED",IF(C90&lt;5,"HOLD - LOW TIMING SAMPLE","PROVISIONAL RANKING READY")))</x:f>
      </x:c>
    </x:row>
    <x:row r="91">
      <x:c r="A91" t="n">
        <x:f>'Volume Validation'!A91</x:f>
        <x:v>0</x:v>
      </x:c>
      <x:c r="B91" t="n">
        <x:f>'Volume Validation'!B91</x:f>
        <x:v>0</x:v>
      </x:c>
      <x:c r="C91" t="n">
        <x:f>IF(A91="",0,COUNTIFS('TO Observations'!$X$2:$X$201,A91,'TO Observations'!$C$2:$C$201,B91,'TO Observations'!$AN$2:$AN$201,"Yes"))</x:f>
        <x:v>0</x:v>
      </x:c>
      <x:c r="D91" t="n">
        <x:f>IF(C91=0,0,SUMIFS('TO Observations'!$H$2:$H$201,'TO Observations'!$X$2:$X$201,A91,'TO Observations'!$C$2:$C$201,B91,'TO Observations'!$AN$2:$AN$201,"Yes")/C91)</x:f>
        <x:v>0</x:v>
      </x:c>
      <x:c r="E91" t="n">
        <x:f>IF(C91=0,0,SUMIFS('TO Observations'!$Q$2:$Q$201,'TO Observations'!$X$2:$X$201,A91,'TO Observations'!$C$2:$C$201,B91,'TO Observations'!$AN$2:$AN$201,"Yes")/C91)</x:f>
        <x:v>0</x:v>
      </x:c>
      <x:c r="F91" s="59" t="n">
        <x:f>IF(C91=0,0,COUNTIFS('TO Observations'!$X$2:$X$201,A91,'TO Observations'!$C$2:$C$201,B91,'TO Observations'!$O$2:$O$201,"Yes",'TO Observations'!$AN$2:$AN$201,"Yes")/C91)</x:f>
        <x:v>0</x:v>
      </x:c>
      <x:c r="G91" s="59" t="n">
        <x:f>IF(C91=0,0,COUNTIFS('TO Observations'!$X$2:$X$201,A91,'TO Observations'!$C$2:$C$201,B91,'TO Observations'!$P$2:$P$201,"Yes",'TO Observations'!$AN$2:$AN$201,"Yes")/C91)</x:f>
        <x:v>0</x:v>
      </x:c>
      <x:c r="H91" t="n">
        <x:f>IF(C91=0,0,SUMIFS('TO Observations'!$K$2:$K$201,'TO Observations'!$X$2:$X$201,A91,'TO Observations'!$C$2:$C$201,B91,'TO Observations'!$AN$2:$AN$201,"Yes")/C91)</x:f>
        <x:v>0</x:v>
      </x:c>
      <x:c r="I91" t="n">
        <x:f>'Volume Validation'!D91</x:f>
        <x:v>0</x:v>
      </x:c>
      <x:c r="J91" t="n">
        <x:f>'Volume Validation'!E91</x:f>
        <x:v>0</x:v>
      </x:c>
      <x:c r="K91" t="n">
        <x:f>'Volume Validation'!F91</x:f>
        <x:v>220</x:v>
      </x:c>
      <x:c r="L91" s="40" t="n">
        <x:f>IFERROR(INDEX('Role Cost Assumptions'!$B$2:$B$10,MATCH(B91,'Role Cost Assumptions'!$A$2:$A$10,0)),25)</x:f>
        <x:v>25</x:v>
      </x:c>
      <x:c r="M91" t="n">
        <x:f>'Volume Validation'!G91</x:f>
        <x:v>0</x:v>
      </x:c>
      <x:c r="N91" t="n">
        <x:f>IF('Volume Validation'!J91="Yes",I91*J91*K91,0)</x:f>
        <x:v>0</x:v>
      </x:c>
      <x:c r="O91" s="24" t="n">
        <x:f>N91*(D91+E91)/60*L91</x:f>
        <x:v>0</x:v>
      </x:c>
      <x:c r="P91" t="str">
        <x:f>IF(A91="","",IF('Volume Validation'!J91&lt;&gt;"Yes","HOLD - VOLUME UNVALIDATED",IF(C91&lt;5,"HOLD - LOW TIMING SAMPLE","PROVISIONAL RANKING READY")))</x:f>
      </x:c>
    </x:row>
    <x:row r="92">
      <x:c r="A92" t="n">
        <x:f>'Volume Validation'!A92</x:f>
        <x:v>0</x:v>
      </x:c>
      <x:c r="B92" t="n">
        <x:f>'Volume Validation'!B92</x:f>
        <x:v>0</x:v>
      </x:c>
      <x:c r="C92" t="n">
        <x:f>IF(A92="",0,COUNTIFS('TO Observations'!$X$2:$X$201,A92,'TO Observations'!$C$2:$C$201,B92,'TO Observations'!$AN$2:$AN$201,"Yes"))</x:f>
        <x:v>0</x:v>
      </x:c>
      <x:c r="D92" t="n">
        <x:f>IF(C92=0,0,SUMIFS('TO Observations'!$H$2:$H$201,'TO Observations'!$X$2:$X$201,A92,'TO Observations'!$C$2:$C$201,B92,'TO Observations'!$AN$2:$AN$201,"Yes")/C92)</x:f>
        <x:v>0</x:v>
      </x:c>
      <x:c r="E92" t="n">
        <x:f>IF(C92=0,0,SUMIFS('TO Observations'!$Q$2:$Q$201,'TO Observations'!$X$2:$X$201,A92,'TO Observations'!$C$2:$C$201,B92,'TO Observations'!$AN$2:$AN$201,"Yes")/C92)</x:f>
        <x:v>0</x:v>
      </x:c>
      <x:c r="F92" s="59" t="n">
        <x:f>IF(C92=0,0,COUNTIFS('TO Observations'!$X$2:$X$201,A92,'TO Observations'!$C$2:$C$201,B92,'TO Observations'!$O$2:$O$201,"Yes",'TO Observations'!$AN$2:$AN$201,"Yes")/C92)</x:f>
        <x:v>0</x:v>
      </x:c>
      <x:c r="G92" s="59" t="n">
        <x:f>IF(C92=0,0,COUNTIFS('TO Observations'!$X$2:$X$201,A92,'TO Observations'!$C$2:$C$201,B92,'TO Observations'!$P$2:$P$201,"Yes",'TO Observations'!$AN$2:$AN$201,"Yes")/C92)</x:f>
        <x:v>0</x:v>
      </x:c>
      <x:c r="H92" t="n">
        <x:f>IF(C92=0,0,SUMIFS('TO Observations'!$K$2:$K$201,'TO Observations'!$X$2:$X$201,A92,'TO Observations'!$C$2:$C$201,B92,'TO Observations'!$AN$2:$AN$201,"Yes")/C92)</x:f>
        <x:v>0</x:v>
      </x:c>
      <x:c r="I92" t="n">
        <x:f>'Volume Validation'!D92</x:f>
        <x:v>0</x:v>
      </x:c>
      <x:c r="J92" t="n">
        <x:f>'Volume Validation'!E92</x:f>
        <x:v>0</x:v>
      </x:c>
      <x:c r="K92" t="n">
        <x:f>'Volume Validation'!F92</x:f>
        <x:v>220</x:v>
      </x:c>
      <x:c r="L92" s="40" t="n">
        <x:f>IFERROR(INDEX('Role Cost Assumptions'!$B$2:$B$10,MATCH(B92,'Role Cost Assumptions'!$A$2:$A$10,0)),25)</x:f>
        <x:v>25</x:v>
      </x:c>
      <x:c r="M92" t="n">
        <x:f>'Volume Validation'!G92</x:f>
        <x:v>0</x:v>
      </x:c>
      <x:c r="N92" t="n">
        <x:f>IF('Volume Validation'!J92="Yes",I92*J92*K92,0)</x:f>
        <x:v>0</x:v>
      </x:c>
      <x:c r="O92" s="24" t="n">
        <x:f>N92*(D92+E92)/60*L92</x:f>
        <x:v>0</x:v>
      </x:c>
      <x:c r="P92" t="str">
        <x:f>IF(A92="","",IF('Volume Validation'!J92&lt;&gt;"Yes","HOLD - VOLUME UNVALIDATED",IF(C92&lt;5,"HOLD - LOW TIMING SAMPLE","PROVISIONAL RANKING READY")))</x:f>
      </x:c>
    </x:row>
    <x:row r="93">
      <x:c r="A93" t="n">
        <x:f>'Volume Validation'!A93</x:f>
        <x:v>0</x:v>
      </x:c>
      <x:c r="B93" t="n">
        <x:f>'Volume Validation'!B93</x:f>
        <x:v>0</x:v>
      </x:c>
      <x:c r="C93" t="n">
        <x:f>IF(A93="",0,COUNTIFS('TO Observations'!$X$2:$X$201,A93,'TO Observations'!$C$2:$C$201,B93,'TO Observations'!$AN$2:$AN$201,"Yes"))</x:f>
        <x:v>0</x:v>
      </x:c>
      <x:c r="D93" t="n">
        <x:f>IF(C93=0,0,SUMIFS('TO Observations'!$H$2:$H$201,'TO Observations'!$X$2:$X$201,A93,'TO Observations'!$C$2:$C$201,B93,'TO Observations'!$AN$2:$AN$201,"Yes")/C93)</x:f>
        <x:v>0</x:v>
      </x:c>
      <x:c r="E93" t="n">
        <x:f>IF(C93=0,0,SUMIFS('TO Observations'!$Q$2:$Q$201,'TO Observations'!$X$2:$X$201,A93,'TO Observations'!$C$2:$C$201,B93,'TO Observations'!$AN$2:$AN$201,"Yes")/C93)</x:f>
        <x:v>0</x:v>
      </x:c>
      <x:c r="F93" s="59" t="n">
        <x:f>IF(C93=0,0,COUNTIFS('TO Observations'!$X$2:$X$201,A93,'TO Observations'!$C$2:$C$201,B93,'TO Observations'!$O$2:$O$201,"Yes",'TO Observations'!$AN$2:$AN$201,"Yes")/C93)</x:f>
        <x:v>0</x:v>
      </x:c>
      <x:c r="G93" s="59" t="n">
        <x:f>IF(C93=0,0,COUNTIFS('TO Observations'!$X$2:$X$201,A93,'TO Observations'!$C$2:$C$201,B93,'TO Observations'!$P$2:$P$201,"Yes",'TO Observations'!$AN$2:$AN$201,"Yes")/C93)</x:f>
        <x:v>0</x:v>
      </x:c>
      <x:c r="H93" t="n">
        <x:f>IF(C93=0,0,SUMIFS('TO Observations'!$K$2:$K$201,'TO Observations'!$X$2:$X$201,A93,'TO Observations'!$C$2:$C$201,B93,'TO Observations'!$AN$2:$AN$201,"Yes")/C93)</x:f>
        <x:v>0</x:v>
      </x:c>
      <x:c r="I93" t="n">
        <x:f>'Volume Validation'!D93</x:f>
        <x:v>0</x:v>
      </x:c>
      <x:c r="J93" t="n">
        <x:f>'Volume Validation'!E93</x:f>
        <x:v>0</x:v>
      </x:c>
      <x:c r="K93" t="n">
        <x:f>'Volume Validation'!F93</x:f>
        <x:v>220</x:v>
      </x:c>
      <x:c r="L93" s="40" t="n">
        <x:f>IFERROR(INDEX('Role Cost Assumptions'!$B$2:$B$10,MATCH(B93,'Role Cost Assumptions'!$A$2:$A$10,0)),25)</x:f>
        <x:v>25</x:v>
      </x:c>
      <x:c r="M93" t="n">
        <x:f>'Volume Validation'!G93</x:f>
        <x:v>0</x:v>
      </x:c>
      <x:c r="N93" t="n">
        <x:f>IF('Volume Validation'!J93="Yes",I93*J93*K93,0)</x:f>
        <x:v>0</x:v>
      </x:c>
      <x:c r="O93" s="24" t="n">
        <x:f>N93*(D93+E93)/60*L93</x:f>
        <x:v>0</x:v>
      </x:c>
      <x:c r="P93" t="str">
        <x:f>IF(A93="","",IF('Volume Validation'!J93&lt;&gt;"Yes","HOLD - VOLUME UNVALIDATED",IF(C93&lt;5,"HOLD - LOW TIMING SAMPLE","PROVISIONAL RANKING READY")))</x:f>
      </x:c>
    </x:row>
    <x:row r="94">
      <x:c r="A94" t="n">
        <x:f>'Volume Validation'!A94</x:f>
        <x:v>0</x:v>
      </x:c>
      <x:c r="B94" t="n">
        <x:f>'Volume Validation'!B94</x:f>
        <x:v>0</x:v>
      </x:c>
      <x:c r="C94" t="n">
        <x:f>IF(A94="",0,COUNTIFS('TO Observations'!$X$2:$X$201,A94,'TO Observations'!$C$2:$C$201,B94,'TO Observations'!$AN$2:$AN$201,"Yes"))</x:f>
        <x:v>0</x:v>
      </x:c>
      <x:c r="D94" t="n">
        <x:f>IF(C94=0,0,SUMIFS('TO Observations'!$H$2:$H$201,'TO Observations'!$X$2:$X$201,A94,'TO Observations'!$C$2:$C$201,B94,'TO Observations'!$AN$2:$AN$201,"Yes")/C94)</x:f>
        <x:v>0</x:v>
      </x:c>
      <x:c r="E94" t="n">
        <x:f>IF(C94=0,0,SUMIFS('TO Observations'!$Q$2:$Q$201,'TO Observations'!$X$2:$X$201,A94,'TO Observations'!$C$2:$C$201,B94,'TO Observations'!$AN$2:$AN$201,"Yes")/C94)</x:f>
        <x:v>0</x:v>
      </x:c>
      <x:c r="F94" s="59" t="n">
        <x:f>IF(C94=0,0,COUNTIFS('TO Observations'!$X$2:$X$201,A94,'TO Observations'!$C$2:$C$201,B94,'TO Observations'!$O$2:$O$201,"Yes",'TO Observations'!$AN$2:$AN$201,"Yes")/C94)</x:f>
        <x:v>0</x:v>
      </x:c>
      <x:c r="G94" s="59" t="n">
        <x:f>IF(C94=0,0,COUNTIFS('TO Observations'!$X$2:$X$201,A94,'TO Observations'!$C$2:$C$201,B94,'TO Observations'!$P$2:$P$201,"Yes",'TO Observations'!$AN$2:$AN$201,"Yes")/C94)</x:f>
        <x:v>0</x:v>
      </x:c>
      <x:c r="H94" t="n">
        <x:f>IF(C94=0,0,SUMIFS('TO Observations'!$K$2:$K$201,'TO Observations'!$X$2:$X$201,A94,'TO Observations'!$C$2:$C$201,B94,'TO Observations'!$AN$2:$AN$201,"Yes")/C94)</x:f>
        <x:v>0</x:v>
      </x:c>
      <x:c r="I94" t="n">
        <x:f>'Volume Validation'!D94</x:f>
        <x:v>0</x:v>
      </x:c>
      <x:c r="J94" t="n">
        <x:f>'Volume Validation'!E94</x:f>
        <x:v>0</x:v>
      </x:c>
      <x:c r="K94" t="n">
        <x:f>'Volume Validation'!F94</x:f>
        <x:v>220</x:v>
      </x:c>
      <x:c r="L94" s="40" t="n">
        <x:f>IFERROR(INDEX('Role Cost Assumptions'!$B$2:$B$10,MATCH(B94,'Role Cost Assumptions'!$A$2:$A$10,0)),25)</x:f>
        <x:v>25</x:v>
      </x:c>
      <x:c r="M94" t="n">
        <x:f>'Volume Validation'!G94</x:f>
        <x:v>0</x:v>
      </x:c>
      <x:c r="N94" t="n">
        <x:f>IF('Volume Validation'!J94="Yes",I94*J94*K94,0)</x:f>
        <x:v>0</x:v>
      </x:c>
      <x:c r="O94" s="24" t="n">
        <x:f>N94*(D94+E94)/60*L94</x:f>
        <x:v>0</x:v>
      </x:c>
      <x:c r="P94" t="str">
        <x:f>IF(A94="","",IF('Volume Validation'!J94&lt;&gt;"Yes","HOLD - VOLUME UNVALIDATED",IF(C94&lt;5,"HOLD - LOW TIMING SAMPLE","PROVISIONAL RANKING READY")))</x:f>
      </x:c>
    </x:row>
    <x:row r="95">
      <x:c r="A95" t="n">
        <x:f>'Volume Validation'!A95</x:f>
        <x:v>0</x:v>
      </x:c>
      <x:c r="B95" t="n">
        <x:f>'Volume Validation'!B95</x:f>
        <x:v>0</x:v>
      </x:c>
      <x:c r="C95" t="n">
        <x:f>IF(A95="",0,COUNTIFS('TO Observations'!$X$2:$X$201,A95,'TO Observations'!$C$2:$C$201,B95,'TO Observations'!$AN$2:$AN$201,"Yes"))</x:f>
        <x:v>0</x:v>
      </x:c>
      <x:c r="D95" t="n">
        <x:f>IF(C95=0,0,SUMIFS('TO Observations'!$H$2:$H$201,'TO Observations'!$X$2:$X$201,A95,'TO Observations'!$C$2:$C$201,B95,'TO Observations'!$AN$2:$AN$201,"Yes")/C95)</x:f>
        <x:v>0</x:v>
      </x:c>
      <x:c r="E95" t="n">
        <x:f>IF(C95=0,0,SUMIFS('TO Observations'!$Q$2:$Q$201,'TO Observations'!$X$2:$X$201,A95,'TO Observations'!$C$2:$C$201,B95,'TO Observations'!$AN$2:$AN$201,"Yes")/C95)</x:f>
        <x:v>0</x:v>
      </x:c>
      <x:c r="F95" s="59" t="n">
        <x:f>IF(C95=0,0,COUNTIFS('TO Observations'!$X$2:$X$201,A95,'TO Observations'!$C$2:$C$201,B95,'TO Observations'!$O$2:$O$201,"Yes",'TO Observations'!$AN$2:$AN$201,"Yes")/C95)</x:f>
        <x:v>0</x:v>
      </x:c>
      <x:c r="G95" s="59" t="n">
        <x:f>IF(C95=0,0,COUNTIFS('TO Observations'!$X$2:$X$201,A95,'TO Observations'!$C$2:$C$201,B95,'TO Observations'!$P$2:$P$201,"Yes",'TO Observations'!$AN$2:$AN$201,"Yes")/C95)</x:f>
        <x:v>0</x:v>
      </x:c>
      <x:c r="H95" t="n">
        <x:f>IF(C95=0,0,SUMIFS('TO Observations'!$K$2:$K$201,'TO Observations'!$X$2:$X$201,A95,'TO Observations'!$C$2:$C$201,B95,'TO Observations'!$AN$2:$AN$201,"Yes")/C95)</x:f>
        <x:v>0</x:v>
      </x:c>
      <x:c r="I95" t="n">
        <x:f>'Volume Validation'!D95</x:f>
        <x:v>0</x:v>
      </x:c>
      <x:c r="J95" t="n">
        <x:f>'Volume Validation'!E95</x:f>
        <x:v>0</x:v>
      </x:c>
      <x:c r="K95" t="n">
        <x:f>'Volume Validation'!F95</x:f>
        <x:v>220</x:v>
      </x:c>
      <x:c r="L95" s="40" t="n">
        <x:f>IFERROR(INDEX('Role Cost Assumptions'!$B$2:$B$10,MATCH(B95,'Role Cost Assumptions'!$A$2:$A$10,0)),25)</x:f>
        <x:v>25</x:v>
      </x:c>
      <x:c r="M95" t="n">
        <x:f>'Volume Validation'!G95</x:f>
        <x:v>0</x:v>
      </x:c>
      <x:c r="N95" t="n">
        <x:f>IF('Volume Validation'!J95="Yes",I95*J95*K95,0)</x:f>
        <x:v>0</x:v>
      </x:c>
      <x:c r="O95" s="24" t="n">
        <x:f>N95*(D95+E95)/60*L95</x:f>
        <x:v>0</x:v>
      </x:c>
      <x:c r="P95" t="str">
        <x:f>IF(A95="","",IF('Volume Validation'!J95&lt;&gt;"Yes","HOLD - VOLUME UNVALIDATED",IF(C95&lt;5,"HOLD - LOW TIMING SAMPLE","PROVISIONAL RANKING READY")))</x:f>
      </x:c>
    </x:row>
    <x:row r="96">
      <x:c r="A96" t="n">
        <x:f>'Volume Validation'!A96</x:f>
        <x:v>0</x:v>
      </x:c>
      <x:c r="B96" t="n">
        <x:f>'Volume Validation'!B96</x:f>
        <x:v>0</x:v>
      </x:c>
      <x:c r="C96" t="n">
        <x:f>IF(A96="",0,COUNTIFS('TO Observations'!$X$2:$X$201,A96,'TO Observations'!$C$2:$C$201,B96,'TO Observations'!$AN$2:$AN$201,"Yes"))</x:f>
        <x:v>0</x:v>
      </x:c>
      <x:c r="D96" t="n">
        <x:f>IF(C96=0,0,SUMIFS('TO Observations'!$H$2:$H$201,'TO Observations'!$X$2:$X$201,A96,'TO Observations'!$C$2:$C$201,B96,'TO Observations'!$AN$2:$AN$201,"Yes")/C96)</x:f>
        <x:v>0</x:v>
      </x:c>
      <x:c r="E96" t="n">
        <x:f>IF(C96=0,0,SUMIFS('TO Observations'!$Q$2:$Q$201,'TO Observations'!$X$2:$X$201,A96,'TO Observations'!$C$2:$C$201,B96,'TO Observations'!$AN$2:$AN$201,"Yes")/C96)</x:f>
        <x:v>0</x:v>
      </x:c>
      <x:c r="F96" s="59" t="n">
        <x:f>IF(C96=0,0,COUNTIFS('TO Observations'!$X$2:$X$201,A96,'TO Observations'!$C$2:$C$201,B96,'TO Observations'!$O$2:$O$201,"Yes",'TO Observations'!$AN$2:$AN$201,"Yes")/C96)</x:f>
        <x:v>0</x:v>
      </x:c>
      <x:c r="G96" s="59" t="n">
        <x:f>IF(C96=0,0,COUNTIFS('TO Observations'!$X$2:$X$201,A96,'TO Observations'!$C$2:$C$201,B96,'TO Observations'!$P$2:$P$201,"Yes",'TO Observations'!$AN$2:$AN$201,"Yes")/C96)</x:f>
        <x:v>0</x:v>
      </x:c>
      <x:c r="H96" t="n">
        <x:f>IF(C96=0,0,SUMIFS('TO Observations'!$K$2:$K$201,'TO Observations'!$X$2:$X$201,A96,'TO Observations'!$C$2:$C$201,B96,'TO Observations'!$AN$2:$AN$201,"Yes")/C96)</x:f>
        <x:v>0</x:v>
      </x:c>
      <x:c r="I96" t="n">
        <x:f>'Volume Validation'!D96</x:f>
        <x:v>0</x:v>
      </x:c>
      <x:c r="J96" t="n">
        <x:f>'Volume Validation'!E96</x:f>
        <x:v>0</x:v>
      </x:c>
      <x:c r="K96" t="n">
        <x:f>'Volume Validation'!F96</x:f>
        <x:v>220</x:v>
      </x:c>
      <x:c r="L96" s="40" t="n">
        <x:f>IFERROR(INDEX('Role Cost Assumptions'!$B$2:$B$10,MATCH(B96,'Role Cost Assumptions'!$A$2:$A$10,0)),25)</x:f>
        <x:v>25</x:v>
      </x:c>
      <x:c r="M96" t="n">
        <x:f>'Volume Validation'!G96</x:f>
        <x:v>0</x:v>
      </x:c>
      <x:c r="N96" t="n">
        <x:f>IF('Volume Validation'!J96="Yes",I96*J96*K96,0)</x:f>
        <x:v>0</x:v>
      </x:c>
      <x:c r="O96" s="24" t="n">
        <x:f>N96*(D96+E96)/60*L96</x:f>
        <x:v>0</x:v>
      </x:c>
      <x:c r="P96" t="str">
        <x:f>IF(A96="","",IF('Volume Validation'!J96&lt;&gt;"Yes","HOLD - VOLUME UNVALIDATED",IF(C96&lt;5,"HOLD - LOW TIMING SAMPLE","PROVISIONAL RANKING READY")))</x:f>
      </x:c>
    </x:row>
    <x:row r="97">
      <x:c r="A97" t="n">
        <x:f>'Volume Validation'!A97</x:f>
        <x:v>0</x:v>
      </x:c>
      <x:c r="B97" t="n">
        <x:f>'Volume Validation'!B97</x:f>
        <x:v>0</x:v>
      </x:c>
      <x:c r="C97" t="n">
        <x:f>IF(A97="",0,COUNTIFS('TO Observations'!$X$2:$X$201,A97,'TO Observations'!$C$2:$C$201,B97,'TO Observations'!$AN$2:$AN$201,"Yes"))</x:f>
        <x:v>0</x:v>
      </x:c>
      <x:c r="D97" t="n">
        <x:f>IF(C97=0,0,SUMIFS('TO Observations'!$H$2:$H$201,'TO Observations'!$X$2:$X$201,A97,'TO Observations'!$C$2:$C$201,B97,'TO Observations'!$AN$2:$AN$201,"Yes")/C97)</x:f>
        <x:v>0</x:v>
      </x:c>
      <x:c r="E97" t="n">
        <x:f>IF(C97=0,0,SUMIFS('TO Observations'!$Q$2:$Q$201,'TO Observations'!$X$2:$X$201,A97,'TO Observations'!$C$2:$C$201,B97,'TO Observations'!$AN$2:$AN$201,"Yes")/C97)</x:f>
        <x:v>0</x:v>
      </x:c>
      <x:c r="F97" s="59" t="n">
        <x:f>IF(C97=0,0,COUNTIFS('TO Observations'!$X$2:$X$201,A97,'TO Observations'!$C$2:$C$201,B97,'TO Observations'!$O$2:$O$201,"Yes",'TO Observations'!$AN$2:$AN$201,"Yes")/C97)</x:f>
        <x:v>0</x:v>
      </x:c>
      <x:c r="G97" s="59" t="n">
        <x:f>IF(C97=0,0,COUNTIFS('TO Observations'!$X$2:$X$201,A97,'TO Observations'!$C$2:$C$201,B97,'TO Observations'!$P$2:$P$201,"Yes",'TO Observations'!$AN$2:$AN$201,"Yes")/C97)</x:f>
        <x:v>0</x:v>
      </x:c>
      <x:c r="H97" t="n">
        <x:f>IF(C97=0,0,SUMIFS('TO Observations'!$K$2:$K$201,'TO Observations'!$X$2:$X$201,A97,'TO Observations'!$C$2:$C$201,B97,'TO Observations'!$AN$2:$AN$201,"Yes")/C97)</x:f>
        <x:v>0</x:v>
      </x:c>
      <x:c r="I97" t="n">
        <x:f>'Volume Validation'!D97</x:f>
        <x:v>0</x:v>
      </x:c>
      <x:c r="J97" t="n">
        <x:f>'Volume Validation'!E97</x:f>
        <x:v>0</x:v>
      </x:c>
      <x:c r="K97" t="n">
        <x:f>'Volume Validation'!F97</x:f>
        <x:v>220</x:v>
      </x:c>
      <x:c r="L97" s="40" t="n">
        <x:f>IFERROR(INDEX('Role Cost Assumptions'!$B$2:$B$10,MATCH(B97,'Role Cost Assumptions'!$A$2:$A$10,0)),25)</x:f>
        <x:v>25</x:v>
      </x:c>
      <x:c r="M97" t="n">
        <x:f>'Volume Validation'!G97</x:f>
        <x:v>0</x:v>
      </x:c>
      <x:c r="N97" t="n">
        <x:f>IF('Volume Validation'!J97="Yes",I97*J97*K97,0)</x:f>
        <x:v>0</x:v>
      </x:c>
      <x:c r="O97" s="24" t="n">
        <x:f>N97*(D97+E97)/60*L97</x:f>
        <x:v>0</x:v>
      </x:c>
      <x:c r="P97" t="str">
        <x:f>IF(A97="","",IF('Volume Validation'!J97&lt;&gt;"Yes","HOLD - VOLUME UNVALIDATED",IF(C97&lt;5,"HOLD - LOW TIMING SAMPLE","PROVISIONAL RANKING READY")))</x:f>
      </x:c>
    </x:row>
    <x:row r="98">
      <x:c r="A98" t="n">
        <x:f>'Volume Validation'!A98</x:f>
        <x:v>0</x:v>
      </x:c>
      <x:c r="B98" t="n">
        <x:f>'Volume Validation'!B98</x:f>
        <x:v>0</x:v>
      </x:c>
      <x:c r="C98" t="n">
        <x:f>IF(A98="",0,COUNTIFS('TO Observations'!$X$2:$X$201,A98,'TO Observations'!$C$2:$C$201,B98,'TO Observations'!$AN$2:$AN$201,"Yes"))</x:f>
        <x:v>0</x:v>
      </x:c>
      <x:c r="D98" t="n">
        <x:f>IF(C98=0,0,SUMIFS('TO Observations'!$H$2:$H$201,'TO Observations'!$X$2:$X$201,A98,'TO Observations'!$C$2:$C$201,B98,'TO Observations'!$AN$2:$AN$201,"Yes")/C98)</x:f>
        <x:v>0</x:v>
      </x:c>
      <x:c r="E98" t="n">
        <x:f>IF(C98=0,0,SUMIFS('TO Observations'!$Q$2:$Q$201,'TO Observations'!$X$2:$X$201,A98,'TO Observations'!$C$2:$C$201,B98,'TO Observations'!$AN$2:$AN$201,"Yes")/C98)</x:f>
        <x:v>0</x:v>
      </x:c>
      <x:c r="F98" s="59" t="n">
        <x:f>IF(C98=0,0,COUNTIFS('TO Observations'!$X$2:$X$201,A98,'TO Observations'!$C$2:$C$201,B98,'TO Observations'!$O$2:$O$201,"Yes",'TO Observations'!$AN$2:$AN$201,"Yes")/C98)</x:f>
        <x:v>0</x:v>
      </x:c>
      <x:c r="G98" s="59" t="n">
        <x:f>IF(C98=0,0,COUNTIFS('TO Observations'!$X$2:$X$201,A98,'TO Observations'!$C$2:$C$201,B98,'TO Observations'!$P$2:$P$201,"Yes",'TO Observations'!$AN$2:$AN$201,"Yes")/C98)</x:f>
        <x:v>0</x:v>
      </x:c>
      <x:c r="H98" t="n">
        <x:f>IF(C98=0,0,SUMIFS('TO Observations'!$K$2:$K$201,'TO Observations'!$X$2:$X$201,A98,'TO Observations'!$C$2:$C$201,B98,'TO Observations'!$AN$2:$AN$201,"Yes")/C98)</x:f>
        <x:v>0</x:v>
      </x:c>
      <x:c r="I98" t="n">
        <x:f>'Volume Validation'!D98</x:f>
        <x:v>0</x:v>
      </x:c>
      <x:c r="J98" t="n">
        <x:f>'Volume Validation'!E98</x:f>
        <x:v>0</x:v>
      </x:c>
      <x:c r="K98" t="n">
        <x:f>'Volume Validation'!F98</x:f>
        <x:v>220</x:v>
      </x:c>
      <x:c r="L98" s="40" t="n">
        <x:f>IFERROR(INDEX('Role Cost Assumptions'!$B$2:$B$10,MATCH(B98,'Role Cost Assumptions'!$A$2:$A$10,0)),25)</x:f>
        <x:v>25</x:v>
      </x:c>
      <x:c r="M98" t="n">
        <x:f>'Volume Validation'!G98</x:f>
        <x:v>0</x:v>
      </x:c>
      <x:c r="N98" t="n">
        <x:f>IF('Volume Validation'!J98="Yes",I98*J98*K98,0)</x:f>
        <x:v>0</x:v>
      </x:c>
      <x:c r="O98" s="24" t="n">
        <x:f>N98*(D98+E98)/60*L98</x:f>
        <x:v>0</x:v>
      </x:c>
      <x:c r="P98" t="str">
        <x:f>IF(A98="","",IF('Volume Validation'!J98&lt;&gt;"Yes","HOLD - VOLUME UNVALIDATED",IF(C98&lt;5,"HOLD - LOW TIMING SAMPLE","PROVISIONAL RANKING READY")))</x:f>
      </x:c>
    </x:row>
    <x:row r="99">
      <x:c r="A99" t="n">
        <x:f>'Volume Validation'!A99</x:f>
        <x:v>0</x:v>
      </x:c>
      <x:c r="B99" t="n">
        <x:f>'Volume Validation'!B99</x:f>
        <x:v>0</x:v>
      </x:c>
      <x:c r="C99" t="n">
        <x:f>IF(A99="",0,COUNTIFS('TO Observations'!$X$2:$X$201,A99,'TO Observations'!$C$2:$C$201,B99,'TO Observations'!$AN$2:$AN$201,"Yes"))</x:f>
        <x:v>0</x:v>
      </x:c>
      <x:c r="D99" t="n">
        <x:f>IF(C99=0,0,SUMIFS('TO Observations'!$H$2:$H$201,'TO Observations'!$X$2:$X$201,A99,'TO Observations'!$C$2:$C$201,B99,'TO Observations'!$AN$2:$AN$201,"Yes")/C99)</x:f>
        <x:v>0</x:v>
      </x:c>
      <x:c r="E99" t="n">
        <x:f>IF(C99=0,0,SUMIFS('TO Observations'!$Q$2:$Q$201,'TO Observations'!$X$2:$X$201,A99,'TO Observations'!$C$2:$C$201,B99,'TO Observations'!$AN$2:$AN$201,"Yes")/C99)</x:f>
        <x:v>0</x:v>
      </x:c>
      <x:c r="F99" s="59" t="n">
        <x:f>IF(C99=0,0,COUNTIFS('TO Observations'!$X$2:$X$201,A99,'TO Observations'!$C$2:$C$201,B99,'TO Observations'!$O$2:$O$201,"Yes",'TO Observations'!$AN$2:$AN$201,"Yes")/C99)</x:f>
        <x:v>0</x:v>
      </x:c>
      <x:c r="G99" s="59" t="n">
        <x:f>IF(C99=0,0,COUNTIFS('TO Observations'!$X$2:$X$201,A99,'TO Observations'!$C$2:$C$201,B99,'TO Observations'!$P$2:$P$201,"Yes",'TO Observations'!$AN$2:$AN$201,"Yes")/C99)</x:f>
        <x:v>0</x:v>
      </x:c>
      <x:c r="H99" t="n">
        <x:f>IF(C99=0,0,SUMIFS('TO Observations'!$K$2:$K$201,'TO Observations'!$X$2:$X$201,A99,'TO Observations'!$C$2:$C$201,B99,'TO Observations'!$AN$2:$AN$201,"Yes")/C99)</x:f>
        <x:v>0</x:v>
      </x:c>
      <x:c r="I99" t="n">
        <x:f>'Volume Validation'!D99</x:f>
        <x:v>0</x:v>
      </x:c>
      <x:c r="J99" t="n">
        <x:f>'Volume Validation'!E99</x:f>
        <x:v>0</x:v>
      </x:c>
      <x:c r="K99" t="n">
        <x:f>'Volume Validation'!F99</x:f>
        <x:v>220</x:v>
      </x:c>
      <x:c r="L99" s="40" t="n">
        <x:f>IFERROR(INDEX('Role Cost Assumptions'!$B$2:$B$10,MATCH(B99,'Role Cost Assumptions'!$A$2:$A$10,0)),25)</x:f>
        <x:v>25</x:v>
      </x:c>
      <x:c r="M99" t="n">
        <x:f>'Volume Validation'!G99</x:f>
        <x:v>0</x:v>
      </x:c>
      <x:c r="N99" t="n">
        <x:f>IF('Volume Validation'!J99="Yes",I99*J99*K99,0)</x:f>
        <x:v>0</x:v>
      </x:c>
      <x:c r="O99" s="24" t="n">
        <x:f>N99*(D99+E99)/60*L99</x:f>
        <x:v>0</x:v>
      </x:c>
      <x:c r="P99" t="str">
        <x:f>IF(A99="","",IF('Volume Validation'!J99&lt;&gt;"Yes","HOLD - VOLUME UNVALIDATED",IF(C99&lt;5,"HOLD - LOW TIMING SAMPLE","PROVISIONAL RANKING READY")))</x:f>
      </x:c>
    </x:row>
    <x:row r="100">
      <x:c r="A100" t="n">
        <x:f>'Volume Validation'!A100</x:f>
        <x:v>0</x:v>
      </x:c>
      <x:c r="B100" t="n">
        <x:f>'Volume Validation'!B100</x:f>
        <x:v>0</x:v>
      </x:c>
      <x:c r="C100" t="n">
        <x:f>IF(A100="",0,COUNTIFS('TO Observations'!$X$2:$X$201,A100,'TO Observations'!$C$2:$C$201,B100,'TO Observations'!$AN$2:$AN$201,"Yes"))</x:f>
        <x:v>0</x:v>
      </x:c>
      <x:c r="D100" t="n">
        <x:f>IF(C100=0,0,SUMIFS('TO Observations'!$H$2:$H$201,'TO Observations'!$X$2:$X$201,A100,'TO Observations'!$C$2:$C$201,B100,'TO Observations'!$AN$2:$AN$201,"Yes")/C100)</x:f>
        <x:v>0</x:v>
      </x:c>
      <x:c r="E100" t="n">
        <x:f>IF(C100=0,0,SUMIFS('TO Observations'!$Q$2:$Q$201,'TO Observations'!$X$2:$X$201,A100,'TO Observations'!$C$2:$C$201,B100,'TO Observations'!$AN$2:$AN$201,"Yes")/C100)</x:f>
        <x:v>0</x:v>
      </x:c>
      <x:c r="F100" s="59" t="n">
        <x:f>IF(C100=0,0,COUNTIFS('TO Observations'!$X$2:$X$201,A100,'TO Observations'!$C$2:$C$201,B100,'TO Observations'!$O$2:$O$201,"Yes",'TO Observations'!$AN$2:$AN$201,"Yes")/C100)</x:f>
        <x:v>0</x:v>
      </x:c>
      <x:c r="G100" s="59" t="n">
        <x:f>IF(C100=0,0,COUNTIFS('TO Observations'!$X$2:$X$201,A100,'TO Observations'!$C$2:$C$201,B100,'TO Observations'!$P$2:$P$201,"Yes",'TO Observations'!$AN$2:$AN$201,"Yes")/C100)</x:f>
        <x:v>0</x:v>
      </x:c>
      <x:c r="H100" t="n">
        <x:f>IF(C100=0,0,SUMIFS('TO Observations'!$K$2:$K$201,'TO Observations'!$X$2:$X$201,A100,'TO Observations'!$C$2:$C$201,B100,'TO Observations'!$AN$2:$AN$201,"Yes")/C100)</x:f>
        <x:v>0</x:v>
      </x:c>
      <x:c r="I100" t="n">
        <x:f>'Volume Validation'!D100</x:f>
        <x:v>0</x:v>
      </x:c>
      <x:c r="J100" t="n">
        <x:f>'Volume Validation'!E100</x:f>
        <x:v>0</x:v>
      </x:c>
      <x:c r="K100" t="n">
        <x:f>'Volume Validation'!F100</x:f>
        <x:v>220</x:v>
      </x:c>
      <x:c r="L100" s="40" t="n">
        <x:f>IFERROR(INDEX('Role Cost Assumptions'!$B$2:$B$10,MATCH(B100,'Role Cost Assumptions'!$A$2:$A$10,0)),25)</x:f>
        <x:v>25</x:v>
      </x:c>
      <x:c r="M100" t="n">
        <x:f>'Volume Validation'!G100</x:f>
        <x:v>0</x:v>
      </x:c>
      <x:c r="N100" t="n">
        <x:f>IF('Volume Validation'!J100="Yes",I100*J100*K100,0)</x:f>
        <x:v>0</x:v>
      </x:c>
      <x:c r="O100" s="24" t="n">
        <x:f>N100*(D100+E100)/60*L100</x:f>
        <x:v>0</x:v>
      </x:c>
      <x:c r="P100" t="str">
        <x:f>IF(A100="","",IF('Volume Validation'!J100&lt;&gt;"Yes","HOLD - VOLUME UNVALIDATED",IF(C100&lt;5,"HOLD - LOW TIMING SAMPLE","PROVISIONAL RANKING READY")))</x:f>
      </x:c>
    </x:row>
    <x:row r="101">
      <x:c r="A101" t="n">
        <x:f>'Volume Validation'!A101</x:f>
        <x:v>0</x:v>
      </x:c>
      <x:c r="B101" t="n">
        <x:f>'Volume Validation'!B101</x:f>
        <x:v>0</x:v>
      </x:c>
      <x:c r="C101" t="n">
        <x:f>IF(A101="",0,COUNTIFS('TO Observations'!$X$2:$X$201,A101,'TO Observations'!$C$2:$C$201,B101,'TO Observations'!$AN$2:$AN$201,"Yes"))</x:f>
        <x:v>0</x:v>
      </x:c>
      <x:c r="D101" t="n">
        <x:f>IF(C101=0,0,SUMIFS('TO Observations'!$H$2:$H$201,'TO Observations'!$X$2:$X$201,A101,'TO Observations'!$C$2:$C$201,B101,'TO Observations'!$AN$2:$AN$201,"Yes")/C101)</x:f>
        <x:v>0</x:v>
      </x:c>
      <x:c r="E101" t="n">
        <x:f>IF(C101=0,0,SUMIFS('TO Observations'!$Q$2:$Q$201,'TO Observations'!$X$2:$X$201,A101,'TO Observations'!$C$2:$C$201,B101,'TO Observations'!$AN$2:$AN$201,"Yes")/C101)</x:f>
        <x:v>0</x:v>
      </x:c>
      <x:c r="F101" s="59" t="n">
        <x:f>IF(C101=0,0,COUNTIFS('TO Observations'!$X$2:$X$201,A101,'TO Observations'!$C$2:$C$201,B101,'TO Observations'!$O$2:$O$201,"Yes",'TO Observations'!$AN$2:$AN$201,"Yes")/C101)</x:f>
        <x:v>0</x:v>
      </x:c>
      <x:c r="G101" s="59" t="n">
        <x:f>IF(C101=0,0,COUNTIFS('TO Observations'!$X$2:$X$201,A101,'TO Observations'!$C$2:$C$201,B101,'TO Observations'!$P$2:$P$201,"Yes",'TO Observations'!$AN$2:$AN$201,"Yes")/C101)</x:f>
        <x:v>0</x:v>
      </x:c>
      <x:c r="H101" t="n">
        <x:f>IF(C101=0,0,SUMIFS('TO Observations'!$K$2:$K$201,'TO Observations'!$X$2:$X$201,A101,'TO Observations'!$C$2:$C$201,B101,'TO Observations'!$AN$2:$AN$201,"Yes")/C101)</x:f>
        <x:v>0</x:v>
      </x:c>
      <x:c r="I101" t="n">
        <x:f>'Volume Validation'!D101</x:f>
        <x:v>0</x:v>
      </x:c>
      <x:c r="J101" t="n">
        <x:f>'Volume Validation'!E101</x:f>
        <x:v>0</x:v>
      </x:c>
      <x:c r="K101" t="n">
        <x:f>'Volume Validation'!F101</x:f>
        <x:v>220</x:v>
      </x:c>
      <x:c r="L101" s="40" t="n">
        <x:f>IFERROR(INDEX('Role Cost Assumptions'!$B$2:$B$10,MATCH(B101,'Role Cost Assumptions'!$A$2:$A$10,0)),25)</x:f>
        <x:v>25</x:v>
      </x:c>
      <x:c r="M101" t="n">
        <x:f>'Volume Validation'!G101</x:f>
        <x:v>0</x:v>
      </x:c>
      <x:c r="N101" t="n">
        <x:f>IF('Volume Validation'!J101="Yes",I101*J101*K101,0)</x:f>
        <x:v>0</x:v>
      </x:c>
      <x:c r="O101" s="24" t="n">
        <x:f>N101*(D101+E101)/60*L101</x:f>
        <x:v>0</x:v>
      </x:c>
      <x:c r="P101" t="str">
        <x:f>IF(A101="","",IF('Volume Validation'!J101&lt;&gt;"Yes","HOLD - VOLUME UNVALIDATED",IF(C101&lt;5,"HOLD - LOW TIMING SAMPLE","PROVISIONAL RANKING READY")))</x:f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2" hidden="0" customWidth="1"/>
  </x:cols>
  <x:sheetData>
    <x:row r="1">
      <x:c r="A1" s="79" t="str">
        <x:v>TO Data Quality Gate</x:v>
      </x:c>
      <x:c r="B1" s="79"/>
      <x:c r="C1" s="79"/>
      <x:c r="D1" s="79"/>
    </x:row>
    <x:row r="3">
      <x:c r="A3" s="76" t="str">
        <x:v>Check</x:v>
      </x:c>
      <x:c r="B3" s="76" t="str">
        <x:v>Count</x:v>
      </x:c>
      <x:c r="C3" s="76" t="str">
        <x:v>Required action</x:v>
      </x:c>
    </x:row>
    <x:row r="4">
      <x:c r="A4" s="12" t="str">
        <x:v>Observations entered</x:v>
      </x:c>
      <x:c r="B4" s="12" t="n">
        <x:f>COUNTIF('TO Observations'!F2:F201,"&lt;&gt;")</x:f>
        <x:v>0</x:v>
      </x:c>
      <x:c r="C4" s="12" t="str">
        <x:v>Context only</x:v>
      </x:c>
    </x:row>
    <x:row r="5">
      <x:c r="A5" s="12" t="str">
        <x:v>Included rows missing Task Family</x:v>
      </x:c>
      <x:c r="B5" s="12" t="n">
        <x:f>COUNTIFS('TO Observations'!AN2:AN201,"Yes",'TO Observations'!X2:X201,"")</x:f>
        <x:v>0</x:v>
      </x:c>
      <x:c r="C5" s="12" t="str">
        <x:v>Fix before analysis</x:v>
      </x:c>
    </x:row>
    <x:row r="6">
      <x:c r="A6" s="12" t="str">
        <x:v>Included rows missing Session ID</x:v>
      </x:c>
      <x:c r="B6" s="12" t="n">
        <x:f>COUNTIFS('TO Observations'!AN2:AN201,"Yes",'TO Observations'!Y2:Y201,"")</x:f>
        <x:v>0</x:v>
      </x:c>
      <x:c r="C6" s="12" t="str">
        <x:v>Fix before analysis</x:v>
      </x:c>
    </x:row>
    <x:row r="7">
      <x:c r="A7" s="12" t="str">
        <x:v>Included rows without measured timing</x:v>
      </x:c>
      <x:c r="B7" s="12" t="n">
        <x:f>COUNTIFS('TO Observations'!AN2:AN201,"Yes",'TO Observations'!AG2:AG201,"&lt;&gt;MEASURED")</x:f>
        <x:v>0</x:v>
      </x:c>
      <x:c r="C7" s="12" t="str">
        <x:v>Exclude or correct evidence source</x:v>
      </x:c>
    </x:row>
    <x:row r="8">
      <x:c r="A8" s="12" t="str">
        <x:v>Included interrupted rows</x:v>
      </x:c>
      <x:c r="B8" s="12" t="n">
        <x:f>COUNTIFS('TO Observations'!AN2:AN201,"Yes",'TO Observations'!AA2:AA201,"Yes")</x:f>
        <x:v>0</x:v>
      </x:c>
      <x:c r="C8" s="12" t="str">
        <x:v>Review/exclude unless interruption removed from timing</x:v>
      </x:c>
    </x:row>
    <x:row r="9">
      <x:c r="A9" s="12" t="str">
        <x:v>Included abnormal-path rows</x:v>
      </x:c>
      <x:c r="B9" s="12" t="n">
        <x:f>COUNTIFS('TO Observations'!AN2:AN201,"Yes",'TO Observations'!Z2:Z201,"No")</x:f>
        <x:v>0</x:v>
      </x:c>
      <x:c r="C9" s="12" t="str">
        <x:v>Review separately; do not blend blindly</x:v>
      </x:c>
    </x:row>
    <x:row r="10">
      <x:c r="A10" s="12" t="str">
        <x:v>Included rows missing Native Proclaim status</x:v>
      </x:c>
      <x:c r="B10" s="12" t="n">
        <x:f>COUNTIFS('TO Observations'!AN2:AN201,"Yes",'TO Observations'!AJ2:AJ201,"")</x:f>
        <x:v>0</x:v>
      </x:c>
      <x:c r="C10" s="12" t="str">
        <x:v>Ask/mark Unknown</x:v>
      </x:c>
    </x:row>
    <x:row r="11">
      <x:c r="A11" s="12" t="str">
        <x:v>Validated volume rows</x:v>
      </x:c>
      <x:c r="B11" s="12" t="n">
        <x:f>COUNTIF('Volume Validation'!J2:J101,"Yes")</x:f>
        <x:v>0</x:v>
      </x:c>
      <x:c r="C11" s="12" t="str">
        <x:v>Needed for annualisation</x:v>
      </x:c>
    </x:row>
    <x:row r="12">
      <x:c r="A12" s="12" t="str">
        <x:v>Volume rows still ASSUMPTION</x:v>
      </x:c>
      <x:c r="B12" s="12" t="n">
        <x:f>COUNTIF('Volume Validation'!G2:G101,"ASSUMPTION")</x:f>
        <x:v>0</x:v>
      </x:c>
      <x:c r="C12" s="12" t="str">
        <x:v>Do not present as measured economics</x:v>
      </x:c>
    </x:row>
    <x:row r="13">
      <x:c r="A13" s="12" t="str">
        <x:v>Task-family/role rows ranking-ready</x:v>
      </x:c>
      <x:c r="B13" s="12" t="n">
        <x:f>COUNTIF('Task Family Analysis'!P2:P101,"PROVISIONAL RANKING READY")</x:f>
        <x:v>0</x:v>
      </x:c>
      <x:c r="C13" s="12" t="str">
        <x:v>Need &gt;=5 timings + validated volume</x:v>
      </x:c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42" hidden="0" customWidth="1"/>
    <x:col min="5" max="5" width="16" hidden="0" customWidth="1"/>
    <x:col min="6" max="6" width="28" hidden="0" customWidth="1"/>
    <x:col min="7" max="7" width="32" hidden="0" customWidth="1"/>
  </x:cols>
  <x:sheetData>
    <x:row r="1">
      <x:c r="A1" s="76" t="str">
        <x:v>ID</x:v>
      </x:c>
      <x:c r="B1" s="76" t="str">
        <x:v>Hypothesis BEFORE TO</x:v>
      </x:c>
      <x:c r="C1" s="76" t="str">
        <x:v>Evidence That Supports</x:v>
      </x:c>
      <x:c r="D1" s="76" t="str">
        <x:v>Evidence That Weakens/Kills</x:v>
      </x:c>
      <x:c r="E1" s="76" t="str">
        <x:v>Status</x:v>
      </x:c>
      <x:c r="F1" s="76" t="str">
        <x:v>Decision Impact</x:v>
      </x:c>
      <x:c r="G1" s="76" t="str">
        <x:v>Notes</x:v>
      </x:c>
    </x:row>
    <x:row r="2">
      <x:c r="A2" s="12" t="str">
        <x:v>H1</x:v>
      </x:c>
      <x:c r="B2" s="12" t="str">
        <x:v>Inbound email/document handling is a top operational burden</x:v>
      </x:c>
      <x:c r="C2" s="12" t="str">
        <x:v>High repeated active minutes/touches across roles</x:v>
      </x:c>
      <x:c r="D2" s="12" t="str">
        <x:v>Low frequency/time or native automation already handles it</x:v>
      </x:c>
      <x:c r="E2" s="12" t="str">
        <x:v>UNTESTED</x:v>
      </x:c>
      <x:c r="F2" s="12" t="str">
        <x:v>Wedge ranking</x:v>
      </x:c>
      <x:c r="G2" s="12" t="str"/>
    </x:row>
    <x:row r="3">
      <x:c r="A3" s="12" t="str">
        <x:v>H2</x:v>
      </x:c>
      <x:c r="B3" s="12" t="str">
        <x:v>Matter matching is a meaningful confidentiality-sensitive friction</x:v>
      </x:c>
      <x:c r="C3" s="12" t="str">
        <x:v>Repeated search/match time and ambiguous cases</x:v>
      </x:c>
      <x:c r="D3" s="12" t="str">
        <x:v>Mostly exact references/near-zero effort</x:v>
      </x:c>
      <x:c r="E3" s="12" t="str">
        <x:v>UNTESTED</x:v>
      </x:c>
      <x:c r="F3" s="12" t="str">
        <x:v>Matching product depth</x:v>
      </x:c>
      <x:c r="G3" s="12" t="str"/>
    </x:row>
    <x:row r="4">
      <x:c r="A4" s="12" t="str">
        <x:v>H3</x:v>
      </x:c>
      <x:c r="B4" s="12" t="str">
        <x:v>Task creation/action detection adds material admin after inbound</x:v>
      </x:c>
      <x:c r="C4" s="12" t="str">
        <x:v>Repeated task creation after correspondence</x:v>
      </x:c>
      <x:c r="D4" s="12" t="str">
        <x:v>Rare or already native/automatic</x:v>
      </x:c>
      <x:c r="E4" s="12" t="str">
        <x:v>UNTESTED</x:v>
      </x:c>
      <x:c r="F4" s="12" t="str">
        <x:v>Inbound product scope</x:v>
      </x:c>
      <x:c r="G4" s="12" t="str"/>
    </x:row>
    <x:row r="5">
      <x:c r="A5" s="12" t="str">
        <x:v>H4</x:v>
      </x:c>
      <x:c r="B5" s="12" t="str">
        <x:v>External chasing/evidence delay is a bigger value pool than filing</x:v>
      </x:c>
      <x:c r="C5" s="12" t="str">
        <x:v>High repeated chases + long waits + economic/client impact</x:v>
      </x:c>
      <x:c r="D5" s="12" t="str">
        <x:v>Rare/simple/low consequence</x:v>
      </x:c>
      <x:c r="E5" s="12" t="str">
        <x:v>UNTESTED</x:v>
      </x:c>
      <x:c r="F5" s="12" t="str">
        <x:v>May reorder wedge</x:v>
      </x:c>
      <x:c r="G5" s="12" t="str"/>
    </x:row>
    <x:row r="6">
      <x:c r="A6" s="12" t="str">
        <x:v>H5</x:v>
      </x:c>
      <x:c r="B6" s="12" t="str">
        <x:v>Supervisor case-health review is materially expensive</x:v>
      </x:c>
      <x:c r="C6" s="12" t="str">
        <x:v>Repeated review time across team leaders</x:v>
      </x:c>
      <x:c r="D6" s="12" t="str">
        <x:v>Low time/frequency or already well automated</x:v>
      </x:c>
      <x:c r="E6" s="12" t="str">
        <x:v>UNTESTED</x:v>
      </x:c>
      <x:c r="F6" s="12" t="str">
        <x:v>Matter Command priority</x:v>
      </x:c>
      <x:c r="G6" s="12" t="str"/>
    </x:row>
    <x:row r="7">
      <x:c r="A7" s="12" t="str">
        <x:v>H6</x:v>
      </x:c>
      <x:c r="B7" s="12" t="str">
        <x:v>Human review will not erase automation value</x:v>
      </x:c>
      <x:c r="C7" s="12" t="str">
        <x:v>Exceptions are minority and quick to resolve</x:v>
      </x:c>
      <x:c r="D7" s="12" t="str">
        <x:v>High ambiguity/review time</x:v>
      </x:c>
      <x:c r="E7" s="12" t="str">
        <x:v>UNTESTED</x:v>
      </x:c>
      <x:c r="F7" s="12" t="str">
        <x:v>Automation ceiling</x:v>
      </x:c>
      <x:c r="G7" s="12" t="str"/>
    </x:row>
    <x:row r="8">
      <x:c r="A8" s="12" t="str">
        <x:v>H7</x:v>
      </x:c>
      <x:c r="B8" s="12" t="str">
        <x:v>Proclaim configuration alone cannot cheaply solve the main pain</x:v>
      </x:c>
      <x:c r="C8" s="12" t="str">
        <x:v>Manual steps persist despite existing config/internal expertise</x:v>
      </x:c>
      <x:c r="D8" s="12" t="str">
        <x:v>Native capability exists and is cheap/reliable</x:v>
      </x:c>
      <x:c r="E8" s="12" t="str">
        <x:v>UNTESTED</x:v>
      </x:c>
      <x:c r="F8" s="12" t="str">
        <x:v>Build vs configure/partner</x:v>
      </x:c>
      <x:c r="G8" s="12" t="str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</x:sheetData>
  <x:dataValidations count="1">
    <x:dataValidation type="list" sqref="E2:E50">
      <x:formula1>"UNTESTED,SUPPORTED,WEAKENED,REJECTED,MIXED"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6" hidden="0" customWidth="1"/>
    <x:col min="4" max="4" width="34" hidden="0" customWidth="1"/>
    <x:col min="5" max="5" width="42" hidden="0" customWidth="1"/>
  </x:cols>
  <x:sheetData>
    <x:row r="1">
      <x:c r="A1" s="76" t="str">
        <x:v>Field</x:v>
      </x:c>
      <x:c r="B1" s="76" t="str">
        <x:v>Required?</x:v>
      </x:c>
      <x:c r="C1" s="76" t="str">
        <x:v>Definition</x:v>
      </x:c>
      <x:c r="D1" s="76" t="str">
        <x:v>Allowed/Example</x:v>
      </x:c>
      <x:c r="E1" s="76" t="str">
        <x:v>Scoring Rule</x:v>
      </x:c>
    </x:row>
    <x:row r="2">
      <x:c r="A2" s="12" t="str">
        <x:v>Task Family</x:v>
      </x:c>
      <x:c r="B2" s="12" t="str">
        <x:v>YES for scoring</x:v>
      </x:c>
      <x:c r="C2" s="12" t="str">
        <x:v>Repeatable workflow subtype more specific than category</x:v>
      </x:c>
      <x:c r="D2" s="12" t="str">
        <x:v>File insurer email / chase GP records</x:v>
      </x:c>
      <x:c r="E2" s="12" t="str">
        <x:v>Primary analysis unit with Role</x:v>
      </x:c>
    </x:row>
    <x:row r="3">
      <x:c r="A3" s="12" t="str">
        <x:v>Session ID</x:v>
      </x:c>
      <x:c r="B3" s="12" t="str">
        <x:v>YES for scoring</x:v>
      </x:c>
      <x:c r="C3" s="12" t="str">
        <x:v>Links observation to session/context</x:v>
      </x:c>
      <x:c r="D3" s="12" t="str">
        <x:v>S-001</x:v>
      </x:c>
      <x:c r="E3" s="12" t="str">
        <x:v>Required</x:v>
      </x:c>
    </x:row>
    <x:row r="4">
      <x:c r="A4" s="12" t="str">
        <x:v>Sample Mode</x:v>
      </x:c>
      <x:c r="B4" s="12" t="str">
        <x:v>YES</x:v>
      </x:c>
      <x:c r="C4" s="12" t="str">
        <x:v>How observation was selected</x:v>
      </x:c>
      <x:c r="D4" s="12" t="str">
        <x:v>CONTINUOUS / TARGETED_REPEAT</x:v>
      </x:c>
      <x:c r="E4" s="12" t="str">
        <x:v>Calibration excluded from final ranking</x:v>
      </x:c>
    </x:row>
    <x:row r="5">
      <x:c r="A5" s="12" t="str">
        <x:v>Normal Path?</x:v>
      </x:c>
      <x:c r="B5" s="12" t="str">
        <x:v>YES</x:v>
      </x:c>
      <x:c r="C5" s="12" t="str">
        <x:v>Was this normal workflow rather than unusual case?</x:v>
      </x:c>
      <x:c r="D5" s="12" t="str">
        <x:v>Yes/No/Unsure</x:v>
      </x:c>
      <x:c r="E5" s="12" t="str">
        <x:v>Analyse exceptions separately</x:v>
      </x:c>
    </x:row>
    <x:row r="6">
      <x:c r="A6" s="12" t="str">
        <x:v>Interrupted?</x:v>
      </x:c>
      <x:c r="B6" s="12" t="str">
        <x:v>YES</x:v>
      </x:c>
      <x:c r="C6" s="12" t="str">
        <x:v>Did unrelated interruption contaminate timing?</x:v>
      </x:c>
      <x:c r="D6" s="12" t="str">
        <x:v>Yes/No/Unsure</x:v>
      </x:c>
      <x:c r="E6" s="12" t="str">
        <x:v>Usually exclude contaminated timings</x:v>
      </x:c>
    </x:row>
    <x:row r="7">
      <x:c r="A7" s="12" t="str">
        <x:v>Batch Size</x:v>
      </x:c>
      <x:c r="B7" s="12" t="str">
        <x:v>If batched</x:v>
      </x:c>
      <x:c r="C7" s="12" t="str">
        <x:v>Number of items handled together</x:v>
      </x:c>
      <x:c r="D7" s="12" t="str">
        <x:v>10 emails</x:v>
      </x:c>
      <x:c r="E7" s="12" t="str">
        <x:v>Convert timing carefully</x:v>
      </x:c>
    </x:row>
    <x:row r="8">
      <x:c r="A8" s="12" t="str">
        <x:v>Wait Duration/Unit</x:v>
      </x:c>
      <x:c r="B8" s="12" t="str">
        <x:v>If waiting</x:v>
      </x:c>
      <x:c r="C8" s="12" t="str">
        <x:v>Elapsed external/internal waiting, not active labour</x:v>
      </x:c>
      <x:c r="D8" s="12" t="str">
        <x:v>4 Days</x:v>
      </x:c>
      <x:c r="E8" s="12" t="str">
        <x:v>Never add to labour minutes</x:v>
      </x:c>
    </x:row>
    <x:row r="9">
      <x:c r="A9" s="12" t="str">
        <x:v>Timing Evidence</x:v>
      </x:c>
      <x:c r="B9" s="12" t="str">
        <x:v>YES</x:v>
      </x:c>
      <x:c r="C9" s="12" t="str">
        <x:v>Source of active-time number</x:v>
      </x:c>
      <x:c r="D9" s="12" t="str">
        <x:v>MEASURED</x:v>
      </x:c>
      <x:c r="E9" s="12" t="str">
        <x:v>Only MEASURED for timing averages</x:v>
      </x:c>
    </x:row>
    <x:row r="10">
      <x:c r="A10" s="12" t="str">
        <x:v>Frequency Evidence</x:v>
      </x:c>
      <x:c r="B10" s="12" t="str">
        <x:v>If frequency used</x:v>
      </x:c>
      <x:c r="C10" s="12" t="str">
        <x:v>Source for events/day</x:v>
      </x:c>
      <x:c r="D10" s="12" t="str">
        <x:v>SYSTEM REPORT / DIRECT USER REPORT</x:v>
      </x:c>
      <x:c r="E10" s="12" t="str">
        <x:v>Keep separate from observation</x:v>
      </x:c>
    </x:row>
    <x:row r="11">
      <x:c r="A11" s="12" t="str">
        <x:v>People Count Evidence</x:v>
      </x:c>
      <x:c r="B11" s="12" t="str">
        <x:v>If headcount used</x:v>
      </x:c>
      <x:c r="C11" s="12" t="str">
        <x:v>Source for people doing task</x:v>
      </x:c>
      <x:c r="D11" s="12" t="str">
        <x:v>SYSTEM REPORT / DIRECT USER REPORT</x:v>
      </x:c>
      <x:c r="E11" s="12" t="str">
        <x:v>Keep separate from observation</x:v>
      </x:c>
    </x:row>
    <x:row r="12">
      <x:c r="A12" s="12" t="str">
        <x:v>Native Proclaim Automation?</x:v>
      </x:c>
      <x:c r="B12" s="12" t="str">
        <x:v>YES</x:v>
      </x:c>
      <x:c r="C12" s="12" t="str">
        <x:v>Could native Proclaim already automate all/part?</x:v>
      </x:c>
      <x:c r="D12" s="12" t="str">
        <x:v>Yes/Partial/No/Unknown</x:v>
      </x:c>
      <x:c r="E12" s="12" t="str">
        <x:v>Key disconfirmation field</x:v>
      </x:c>
    </x:row>
    <x:row r="13">
      <x:c r="A13" s="12" t="str">
        <x:v>Why Manual?</x:v>
      </x:c>
      <x:c r="B13" s="12" t="str">
        <x:v>YES where relevant</x:v>
      </x:c>
      <x:c r="C13" s="12" t="str">
        <x:v>Reason task remains manual</x:v>
      </x:c>
      <x:c r="D13" s="12" t="str">
        <x:v>Integration Gap / Resource / Judgement</x:v>
      </x:c>
      <x:c r="E13" s="12" t="str">
        <x:v>Changes product thesis</x:v>
      </x:c>
    </x:row>
    <x:row r="14">
      <x:c r="A14" s="12" t="str">
        <x:v>Impact Type</x:v>
      </x:c>
      <x:c r="B14" s="12" t="str">
        <x:v>Recommended</x:v>
      </x:c>
      <x:c r="C14" s="12" t="str">
        <x:v>Main consequence of delay/error</x:v>
      </x:c>
      <x:c r="D14" s="12" t="str">
        <x:v>Capacity / Client Service / Cash</x:v>
      </x:c>
      <x:c r="E14" s="12" t="str">
        <x:v>Do not monetise without evidence</x:v>
      </x:c>
    </x:row>
    <x:row r="15">
      <x:c r="A15" s="12" t="str">
        <x:v>Include in Scoring?</x:v>
      </x:c>
      <x:c r="B15" s="12" t="str">
        <x:v>YES</x:v>
      </x:c>
      <x:c r="C15" s="12" t="str">
        <x:v>Explicit observer decision</x:v>
      </x:c>
      <x:c r="D15" s="12" t="str">
        <x:v>Yes/No</x:v>
      </x:c>
      <x:c r="E15" s="12" t="str">
        <x:v>Only Yes rows feed task-family analysis</x:v>
      </x:c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</x:sheetData>
  <x:pageMargins left="0.7" right="0.7" top="0.75" bottom="0.75" header="0.3" footer="0.3"/>
</x:worksheet>
</file>